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059f8098a734233" /></Relationships>
</file>

<file path=xl/workbook.xml><?xml version="1.0" encoding="utf-8"?>
<x:workbook xmlns:x="http://schemas.openxmlformats.org/spreadsheetml/2006/main">
  <x:sheets>
    <x:sheet xmlns:r="http://schemas.openxmlformats.org/officeDocument/2006/relationships" name="Übersicht" sheetId="1" r:id="R00e63ab013044198"/>
    <x:sheet xmlns:r="http://schemas.openxmlformats.org/officeDocument/2006/relationships" name="Aktuelle Kursliste" sheetId="2" r:id="Rb56579ca31ff4543"/>
    <x:sheet xmlns:r="http://schemas.openxmlformats.org/officeDocument/2006/relationships" name="Ersetzt &amp; gelöscht" sheetId="3" r:id="R942b6d1e2e4e481b"/>
    <x:sheet xmlns:r="http://schemas.openxmlformats.org/officeDocument/2006/relationships" name="Neue Kurse je Bereich" sheetId="4" r:id="Rdd7435f092484fad"/>
    <x:sheet xmlns:r="http://schemas.openxmlformats.org/officeDocument/2006/relationships" name="Legende &amp; Quellen" sheetId="5" r:id="R7740c9b9c0ad4b1e"/>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b/>
      <x:sz val="16"/>
      <x:color rgb="FFFFFFFF"/>
      <x:name val="Carlito"/>
    </x:font>
    <x:font>
      <x:i/>
      <x:sz val="11"/>
      <x:color rgb="FF1F2937"/>
      <x:name val="Carlito"/>
    </x:font>
    <x:font>
      <x:b/>
      <x:sz val="11"/>
      <x:color rgb="FFFFFFFF"/>
      <x:name val="Carlito"/>
    </x:font>
    <x:font>
      <x:b/>
      <x:sz val="11"/>
      <x:color rgb="FF17365D"/>
      <x:name val="Carlito"/>
    </x:font>
    <x:font>
      <x:b/>
      <x:sz val="11"/>
      <x:color rgb="FF375623"/>
      <x:name val="Carlito"/>
    </x:font>
    <x:font>
      <x:b/>
      <x:sz val="11"/>
      <x:color rgb="FF7F6000"/>
      <x:name val="Carlito"/>
    </x:font>
  </x:fonts>
  <x:fills count="12">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305496"/>
      </x:patternFill>
    </x:fill>
    <x:fill>
      <x:patternFill patternType="solid">
        <x:fgColor rgb="FFEAF2F8"/>
      </x:patternFill>
    </x:fill>
    <x:fill>
      <x:patternFill patternType="solid">
        <x:fgColor rgb="FFF3F6F9"/>
      </x:patternFill>
    </x:fill>
    <x:fill>
      <x:patternFill patternType="solid">
        <x:fgColor rgb="FFE2F0D9"/>
      </x:patternFill>
    </x:fill>
    <x:fill>
      <x:patternFill patternType="solid">
        <x:fgColor rgb="FFFFF2CC"/>
      </x:patternFill>
    </x:fill>
    <x:fill>
      <x:patternFill patternType="solid">
        <x:fgColor rgb="FFF4CCCC"/>
      </x:patternFill>
    </x:fill>
    <x:fill>
      <x:patternFill patternType="solid">
        <x:fgColor rgb="FFE2F0D9"/>
      </x:patternFill>
    </x:fill>
    <x:fill>
      <x:patternFill patternType="solid">
        <x:fgColor rgb="FFD9EAF7"/>
      </x:patternFill>
    </x:fill>
  </x:fills>
  <x:borders count="8">
    <x:border/>
    <x:border/>
    <x:border>
      <x:left style="thin">
        <x:color rgb="FFD1D5DB"/>
      </x:left>
      <x:top style="medium">
        <x:color rgb="FF17365D"/>
      </x:top>
      <x:bottom style="thin">
        <x:color rgb="FFD1D5DB"/>
      </x:bottom>
    </x:border>
    <x:border>
      <x:top style="medium">
        <x:color rgb="FF17365D"/>
      </x:top>
      <x:bottom style="thin">
        <x:color rgb="FFD1D5DB"/>
      </x:bottom>
    </x:border>
    <x:border>
      <x:right style="thin">
        <x:color rgb="FFD1D5DB"/>
      </x:right>
      <x:top style="medium">
        <x:color rgb="FF17365D"/>
      </x:top>
      <x:bottom style="thin">
        <x:color rgb="FFD1D5DB"/>
      </x:bottom>
    </x:border>
    <x:border>
      <x:left style="thin">
        <x:color rgb="FFD1D5DB"/>
      </x:left>
      <x:top style="medium">
        <x:color rgb="FF17365D"/>
      </x:top>
      <x:bottom style="thin">
        <x:color rgb="FFD1D5DB"/>
      </x:bottom>
    </x:border>
    <x:border>
      <x:top style="medium">
        <x:color rgb="FF17365D"/>
      </x:top>
      <x:bottom style="thin">
        <x:color rgb="FFD1D5DB"/>
      </x:bottom>
    </x:border>
    <x:border>
      <x:right style="thin">
        <x:color rgb="FFD1D5DB"/>
      </x:right>
      <x:top style="medium">
        <x:color rgb="FF17365D"/>
      </x:top>
      <x:bottom style="thin">
        <x:color rgb="FFD1D5DB"/>
      </x:bottom>
    </x:border>
  </x:borders>
  <x:cellStyleXfs count="1">
    <x:xf numFmtId="0" fontId="0" fillId="0" borderId="0"/>
  </x:cellStyleXfs>
  <x:cellXfs count="85">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0" borderId="0" xfId="0" applyNumberFormat="1" applyFont="1" applyFill="1" applyBorder="1"/>
    <x:xf numFmtId="0" fontId="4" fillId="3" borderId="0" xfId="0" applyNumberFormat="1" applyFont="1" applyFill="1" applyBorder="1"/>
    <x:xf numFmtId="0" fontId="4" fillId="3" borderId="0" xfId="0" applyNumberFormat="1" applyFont="1" applyFill="1" applyBorder="1" applyAlignment="1">
      <x:alignment vertical="center"/>
    </x:xf>
    <x:xf numFmtId="0" fontId="4" fillId="3" borderId="1" xfId="0" applyNumberFormat="1" applyFont="1" applyFill="1" applyBorder="1"/>
    <x:xf numFmtId="0" fontId="4" fillId="3" borderId="1" xfId="0" applyNumberFormat="1" applyFont="1" applyFill="1" applyBorder="1" applyAlignment="1">
      <x:alignment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0" fillId="5" borderId="1"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0" fillId="6" borderId="1" xfId="0" applyNumberFormat="1" applyFont="1" applyFill="1" applyBorder="1" applyAlignment="1">
      <x:alignment vertical="top" wrapText="1"/>
    </x:xf>
    <x:xf numFmtId="0" fontId="1" fillId="2" borderId="0" xfId="0" applyNumberFormat="1" applyFont="1" applyFill="1" applyBorder="1" applyAlignment="1">
      <x:alignment horizontal="center" vertical="center" wrapText="1"/>
    </x:xf>
    <x:xf numFmtId="0" fontId="4" fillId="3" borderId="0" xfId="0" applyNumberFormat="1" applyFont="1" applyFill="1" applyBorder="1" applyAlignment="1">
      <x:alignment vertical="center" wrapText="1"/>
    </x:xf>
    <x:xf numFmtId="0" fontId="1" fillId="2" borderId="1" xfId="0" applyNumberFormat="1" applyFont="1" applyFill="1" applyBorder="1" applyAlignment="1">
      <x:alignment horizontal="center" vertical="center" wrapText="1"/>
    </x:xf>
    <x:xf numFmtId="0" fontId="4" fillId="3" borderId="1" xfId="0" applyNumberFormat="1" applyFont="1" applyFill="1" applyBorder="1" applyAlignment="1">
      <x:alignment vertical="center" wrapText="1"/>
    </x:xf>
    <x:xf numFmtId="0" fontId="3" fillId="4" borderId="0" xfId="0" applyNumberFormat="1" applyFont="1" applyFill="1" applyBorder="1" applyAlignment="1">
      <x:alignment horizontal="center" vertical="top" wrapText="1"/>
    </x:xf>
    <x:xf numFmtId="0" fontId="3" fillId="4" borderId="1" xfId="0" applyNumberFormat="1" applyFont="1" applyFill="1" applyBorder="1" applyAlignment="1">
      <x:alignment horizontal="center" vertical="top" wrapText="1"/>
    </x:xf>
    <x:xf numFmtId="0" fontId="0" fillId="7" borderId="0" xfId="0" applyNumberFormat="1" applyFont="1" applyFill="1" applyBorder="1" applyAlignment="1">
      <x:alignment vertical="top" wrapText="1"/>
    </x:xf>
    <x:xf numFmtId="0" fontId="0" fillId="7" borderId="1" xfId="0" applyNumberFormat="1" applyFont="1" applyFill="1" applyBorder="1" applyAlignment="1">
      <x:alignment vertical="top" wrapText="1"/>
    </x:xf>
    <x:xf numFmtId="0" fontId="5" fillId="7" borderId="0" xfId="0" applyNumberFormat="1" applyFont="1" applyFill="1" applyBorder="1" applyAlignment="1">
      <x:alignment vertical="top" wrapText="1"/>
    </x:xf>
    <x:xf numFmtId="0" fontId="5" fillId="7"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5" fillId="7" borderId="3" xfId="0" applyNumberFormat="1" applyFont="1" applyFill="1" applyBorder="1" applyAlignment="1">
      <x:alignment vertical="top" wrapText="1"/>
    </x:xf>
    <x:xf numFmtId="0" fontId="0" fillId="0" borderId="4" xfId="0" applyNumberFormat="1" applyFont="1" applyFill="1" applyBorder="1" applyAlignment="1">
      <x:alignment vertical="top"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5" fillId="7"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4" fillId="0" borderId="2" xfId="0" applyNumberFormat="1" applyFont="1" applyFill="1" applyBorder="1" applyAlignment="1">
      <x:alignment vertical="top" wrapText="1"/>
    </x:xf>
    <x:xf numFmtId="0" fontId="4" fillId="0" borderId="5"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0" fillId="8" borderId="1" xfId="0" applyNumberFormat="1" applyFont="1" applyFill="1" applyBorder="1" applyAlignment="1">
      <x:alignment vertical="top" wrapText="1"/>
    </x:xf>
    <x:xf numFmtId="0" fontId="6" fillId="8" borderId="0" xfId="0" applyNumberFormat="1" applyFont="1" applyFill="1" applyBorder="1" applyAlignment="1">
      <x:alignment vertical="top" wrapText="1"/>
    </x:xf>
    <x:xf numFmtId="0" fontId="6" fillId="8" borderId="1" xfId="0" applyNumberFormat="1" applyFont="1" applyFill="1" applyBorder="1" applyAlignment="1">
      <x:alignment vertical="top" wrapText="1"/>
    </x:xf>
    <x:xf numFmtId="0" fontId="0" fillId="3" borderId="0" xfId="0" applyNumberFormat="1" applyFont="1" applyFill="1" applyBorder="1" applyAlignment="1">
      <x:alignment vertical="top" wrapText="1"/>
    </x:xf>
    <x:xf numFmtId="0" fontId="0" fillId="3" borderId="1" xfId="0" applyNumberFormat="1" applyFont="1" applyFill="1" applyBorder="1" applyAlignment="1">
      <x:alignment vertical="top" wrapText="1"/>
    </x:xf>
    <x:xf numFmtId="0" fontId="4" fillId="3" borderId="0" xfId="0" applyNumberFormat="1" applyFont="1" applyFill="1" applyBorder="1" applyAlignment="1">
      <x:alignment vertical="top" wrapText="1"/>
    </x:xf>
    <x:xf numFmtId="0" fontId="4" fillId="3" borderId="1" xfId="0" applyNumberFormat="1" applyFont="1" applyFill="1" applyBorder="1" applyAlignment="1">
      <x:alignment vertical="top" wrapText="1"/>
    </x:xf>
    <x:xf numFmtId="0" fontId="6" fillId="8" borderId="3" xfId="0" applyNumberFormat="1" applyFont="1" applyFill="1" applyBorder="1" applyAlignment="1">
      <x:alignment vertical="top" wrapText="1"/>
    </x:xf>
    <x:xf numFmtId="0" fontId="6" fillId="8" borderId="6" xfId="0" applyNumberFormat="1" applyFont="1" applyFill="1" applyBorder="1" applyAlignment="1">
      <x:alignment vertical="top" wrapText="1"/>
    </x:xf>
    <x:xf numFmtId="0" fontId="5" fillId="7" borderId="4" xfId="0" applyNumberFormat="1" applyFont="1" applyFill="1" applyBorder="1" applyAlignment="1">
      <x:alignment vertical="top" wrapText="1"/>
    </x:xf>
    <x:xf numFmtId="0" fontId="5" fillId="7" borderId="7"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0" fillId="9" borderId="1" xfId="0" applyNumberFormat="1" applyFont="1" applyFill="1" applyBorder="1" applyAlignment="1">
      <x:alignment vertical="top" wrapText="1"/>
    </x:xf>
    <x:xf numFmtId="0" fontId="5" fillId="0" borderId="0" xfId="0" applyNumberFormat="1" applyFont="1" applyFill="1" applyBorder="1" applyAlignment="1">
      <x:alignment vertical="top" wrapText="1"/>
    </x:xf>
    <x:xf numFmtId="0" fontId="5" fillId="0" borderId="1" xfId="0" applyNumberFormat="1" applyFont="1" applyFill="1" applyBorder="1" applyAlignment="1">
      <x:alignment vertical="top" wrapText="1"/>
    </x:xf>
    <x:xf numFmtId="0" fontId="0" fillId="0" xfId="0" applyNumberFormat="1" applyFont="1" applyFill="1" applyBorder="0"/>
    <x:xf numFmtId="0" fontId="0" fillId="0" xfId="0" applyNumberFormat="1" applyFont="1" applyFill="1" applyBorder="0" applyAlignment="1">
      <x:alignment wrapText="1"/>
    </x:xf>
    <x:xf numFmtId="0" fontId="5" fillId="10" borderId="3" xfId="0" applyNumberFormat="1" applyFont="1" applyFill="1" applyBorder="1" applyAlignment="1">
      <x:alignment vertical="top" wrapText="1"/>
    </x:xf>
    <x:xf numFmtId="0" fontId="5" fillId="10" borderId="0" xfId="0" applyNumberFormat="1" applyFont="1" applyFill="1" applyBorder="1" applyAlignment="1">
      <x:alignment vertical="top" wrapText="1"/>
    </x:xf>
    <x:xf numFmtId="0" fontId="5" fillId="11" borderId="4" xfId="0" applyNumberFormat="1" applyFont="1" applyFill="1" applyBorder="1" applyAlignment="1">
      <x:alignment vertical="top" wrapText="1"/>
    </x:xf>
    <x:xf numFmtId="0" fontId="5" fillId="11" borderId="0"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4"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68255e4369f42bc" /><Relationship Type="http://schemas.openxmlformats.org/officeDocument/2006/relationships/theme" Target="/xl/theme/theme1.xml" Id="R3442028a2a6e4204" /><Relationship Type="http://schemas.openxmlformats.org/officeDocument/2006/relationships/sharedStrings" Target="/xl/sharedStrings.xml" Id="Ra52ae423159a4882" /><Relationship Type="http://schemas.openxmlformats.org/officeDocument/2006/relationships/worksheet" Target="/xl/worksheets/sheet1.xml" Id="R00e63ab013044198" /><Relationship Type="http://schemas.openxmlformats.org/officeDocument/2006/relationships/worksheet" Target="/xl/worksheets/sheet2.xml" Id="Rb56579ca31ff4543" /><Relationship Type="http://schemas.openxmlformats.org/officeDocument/2006/relationships/worksheet" Target="/xl/worksheets/sheet3.xml" Id="R942b6d1e2e4e481b" /><Relationship Type="http://schemas.openxmlformats.org/officeDocument/2006/relationships/worksheet" Target="/xl/worksheets/sheet4.xml" Id="Rdd7435f092484fad" /><Relationship Type="http://schemas.openxmlformats.org/officeDocument/2006/relationships/worksheet" Target="/xl/worksheets/sheet5.xml" Id="R7740c9b9c0ad4b1e" /></Relationships>
</file>

<file path=xl/tables/table1.xml><?xml version="1.0" encoding="utf-8"?>
<x:table xmlns:x="http://schemas.openxmlformats.org/spreadsheetml/2006/main" id="1" name="CurrentCourseList" displayName="CurrentCourseList" ref="A4:N100" headerRowCount="1">
  <x:tableColumns count="14">
    <x:tableColumn id="1" name="Kompetenzbereich"/>
    <x:tableColumn id="2" name="CEO-Kompetenz"/>
    <x:tableColumn id="3" name="AI-First-CEO-Kompetenz"/>
    <x:tableColumn id="4" name="Skill"/>
    <x:tableColumn id="5" name="Anbieter"/>
    <x:tableColumn id="6" name="Kursname"/>
    <x:tableColumn id="7" name="Kursstatus"/>
    <x:tableColumn id="8" name="Kursbeginn / Verfügbarkeit"/>
    <x:tableColumn id="9" name="Durchführung"/>
    <x:tableColumn id="10" name="Buchung / Zugang"/>
    <x:tableColumn id="11" name="Kurslink"/>
    <x:tableColumn id="12" name="Hinweis"/>
    <x:tableColumn id="13" name="Geprüft am"/>
    <x:tableColumn id="14" name="Herkunft"/>
  </x:tableColumns>
  <x:tableStyleInfo name="TableStyleMedium2" showRowStripes="1"/>
</x:table>
</file>

<file path=xl/tables/table2.xml><?xml version="1.0" encoding="utf-8"?>
<x:table xmlns:x="http://schemas.openxmlformats.org/spreadsheetml/2006/main" id="2" name="ReplacementAudit" displayName="ReplacementAudit" ref="A4:K21" headerRowCount="1">
  <x:tableColumns count="11">
    <x:tableColumn id="1" name="Kompetenzbereich"/>
    <x:tableColumn id="2" name="Alter Anbieter"/>
    <x:tableColumn id="3" name="Alter Kurs"/>
    <x:tableColumn id="4" name="Alter Link"/>
    <x:tableColumn id="5" name="Alter Status"/>
    <x:tableColumn id="6" name="Grund für Entfernung"/>
    <x:tableColumn id="7" name="Neuer Anbieter"/>
    <x:tableColumn id="8" name="Aktuelle Alternative"/>
    <x:tableColumn id="9" name="Neuer Link"/>
    <x:tableColumn id="10" name="Maßnahme"/>
    <x:tableColumn id="11" name="Geprüft am"/>
  </x:tableColumns>
  <x:tableStyleInfo name="TableStyleMedium2" showRowStripes="1"/>
</x:table>
</file>

<file path=xl/tables/table3.xml><?xml version="1.0" encoding="utf-8"?>
<x:table xmlns:x="http://schemas.openxmlformats.org/spreadsheetml/2006/main" id="3" name="NewCoursesByArea" displayName="NewCoursesByArea" ref="A4:L31" headerRowCount="1">
  <x:tableColumns count="12">
    <x:tableColumn id="1" name="Kompetenzbereich"/>
    <x:tableColumn id="2" name="CEO-Kompetenz"/>
    <x:tableColumn id="3" name="AI-First-CEO-Kompetenz"/>
    <x:tableColumn id="4" name="Anbieter"/>
    <x:tableColumn id="5" name="Zusätzlicher Kurs"/>
    <x:tableColumn id="6" name="Status"/>
    <x:tableColumn id="7" name="Start / Verfügbarkeit"/>
    <x:tableColumn id="8" name="Durchführung"/>
    <x:tableColumn id="9" name="Zugang"/>
    <x:tableColumn id="10" name="Kurslink"/>
    <x:tableColumn id="11" name="Warum passend"/>
    <x:tableColumn id="12" name="Geprüft am"/>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a21bd1e16ea4050" /></Relationships>
</file>

<file path=xl/worksheets/_rels/sheet3.xml.rels>&#65279;<?xml version="1.0" encoding="utf-8"?><Relationships xmlns="http://schemas.openxmlformats.org/package/2006/relationships"><Relationship Type="http://schemas.openxmlformats.org/officeDocument/2006/relationships/table" Target="/xl/tables/table2.xml" Id="R9f5720ef959c404d" /></Relationships>
</file>

<file path=xl/worksheets/_rels/sheet4.xml.rels>&#65279;<?xml version="1.0" encoding="utf-8"?><Relationships xmlns="http://schemas.openxmlformats.org/package/2006/relationships"><Relationship Type="http://schemas.openxmlformats.org/officeDocument/2006/relationships/table" Target="/xl/tables/table3.xml" Id="Ra2082aea0e214c6a" /></Relationships>
</file>

<file path=xl/worksheets/sheet1.xml><?xml version="1.0" encoding="utf-8"?>
<x:worksheet xmlns:x="http://schemas.openxmlformats.org/spreadsheetml/2006/main">
  <x:sheetFormatPr defaultRowHeight="15"/>
  <x:cols>
    <x:col min="1" max="1" width="38" hidden="0" customWidth="1"/>
    <x:col min="2" max="2" width="16" hidden="0" customWidth="1"/>
    <x:col min="3" max="3" width="5" hidden="0" customWidth="1"/>
    <x:col min="4" max="4" width="24" hidden="0" customWidth="1"/>
    <x:col min="5" max="5" width="24" hidden="0" customWidth="1"/>
    <x:col min="6" max="6" width="24" hidden="0" customWidth="1"/>
  </x:cols>
  <x:sheetData>
    <x:row r="1" ht="32" customHeight="1">
      <x:c r="A1" s="41" t="str">
        <x:v>Aktualisierte Kursübersicht für AI-First-CEO-Kompetenzen</x:v>
      </x:c>
      <x:c r="B1" s="41"/>
      <x:c r="C1" s="41"/>
      <x:c r="D1" s="41"/>
      <x:c r="E1" s="41"/>
      <x:c r="F1" s="41"/>
    </x:row>
    <x:row r="2" ht="46" customHeight="1">
      <x:c r="A2" s="13" t="str">
        <x:v>Nicht mehr vorhandene oder abgelöste Kurslinks wurden entfernt und ersetzt. Zusätzlich wurden drei aktuelle Angebote je Skillsbereich recherchiert. Der 9. Bereich wurde auf Hybrid Work &amp; Future Capability Skills geändert. Letzte Anpassung: 16.07.2026.</x:v>
      </x:c>
      <x:c r="B2" s="13"/>
      <x:c r="C2" s="13"/>
      <x:c r="D2" s="13"/>
      <x:c r="E2" s="13"/>
      <x:c r="F2" s="13"/>
    </x:row>
    <x:row r="3">
      <x:c r="A3" s="33"/>
      <x:c r="B3" s="33"/>
      <x:c r="C3" s="33"/>
      <x:c r="D3" s="33"/>
      <x:c r="E3" s="33"/>
      <x:c r="F3" s="33"/>
    </x:row>
    <x:row r="4">
      <x:c r="A4" s="22" t="str">
        <x:v>Kennzahl</x:v>
      </x:c>
      <x:c r="B4" s="22" t="str">
        <x:v>Wert</x:v>
      </x:c>
      <x:c r="C4" s="33"/>
      <x:c r="D4" s="42" t="str">
        <x:v>Wichtige Änderungen</x:v>
      </x:c>
      <x:c r="E4" s="42"/>
      <x:c r="F4" s="42"/>
    </x:row>
    <x:row r="5">
      <x:c r="A5" s="33" t="str">
        <x:v>Skillsbereiche</x:v>
      </x:c>
      <x:c r="B5" s="33" t="n">
        <x:f>COUNTA(A12:A20)</x:f>
        <x:v>9</x:v>
      </x:c>
      <x:c r="C5" s="33"/>
      <x:c r="D5" s="37" t="str">
        <x:v>• Nicht mehr vorhandene, umbenannte oder abgelöste Kurslinks wurden aus der Hauptliste entfernt.
• Der 9. Skillsbereich wurde vollständig neu definiert.
• Der neue Bereich heißt „Hybrid Work &amp; Future Capability Skills“.
• Die fünf zugeordneten Kurse behandeln hybride Arbeitsmodelle, Remote Leadership, digitale Zusammenarbeit, Vertrauen, Leistungssteuerung und future-ready Teams.</x:v>
      </x:c>
      <x:c r="E5" s="37"/>
      <x:c r="F5" s="37"/>
    </x:row>
    <x:row r="6">
      <x:c r="A6" s="33" t="str">
        <x:v>Kurse in der bereinigten Hauptliste</x:v>
      </x:c>
      <x:c r="B6" s="33" t="n">
        <x:f>COUNTA('Aktuelle Kursliste'!F5:F100)</x:f>
        <x:v>96</x:v>
      </x:c>
      <x:c r="C6" s="33"/>
      <x:c r="D6" s="37"/>
      <x:c r="E6" s="37"/>
      <x:c r="F6" s="37"/>
    </x:row>
    <x:row r="7">
      <x:c r="A7" s="33" t="str">
        <x:v>Gelöschte / ersetzte Einträge</x:v>
      </x:c>
      <x:c r="B7" s="33" t="n">
        <x:f>COUNTA('Ersetzt &amp; gelöscht'!C5:C21)</x:f>
        <x:v>17</x:v>
      </x:c>
      <x:c r="C7" s="33"/>
      <x:c r="D7" s="37"/>
      <x:c r="E7" s="37"/>
      <x:c r="F7" s="37"/>
    </x:row>
    <x:row r="8">
      <x:c r="A8" s="33" t="str">
        <x:v>Neu recherchierte Zusatzkurse</x:v>
      </x:c>
      <x:c r="B8" s="33" t="n">
        <x:f>COUNTA('Neue Kurse je Bereich'!E5:E31)</x:f>
        <x:v>27</x:v>
      </x:c>
      <x:c r="C8" s="33"/>
      <x:c r="D8" s="37"/>
      <x:c r="E8" s="37"/>
      <x:c r="F8" s="37"/>
    </x:row>
    <x:row r="9">
      <x:c r="A9" s="33" t="str">
        <x:v>Prüfdatum</x:v>
      </x:c>
      <x:c r="B9" s="33" t="str">
        <x:v>16.07.2026</x:v>
      </x:c>
      <x:c r="C9" s="33"/>
      <x:c r="D9" s="37"/>
      <x:c r="E9" s="37"/>
      <x:c r="F9" s="37"/>
    </x:row>
    <x:row r="10">
      <x:c r="A10" s="33"/>
      <x:c r="B10" s="33"/>
      <x:c r="C10" s="33"/>
      <x:c r="D10" s="37"/>
      <x:c r="E10" s="37"/>
      <x:c r="F10" s="37"/>
    </x:row>
    <x:row r="11">
      <x:c r="A11" s="22" t="str">
        <x:v>Skillsbereich</x:v>
      </x:c>
      <x:c r="B11" s="22" t="str">
        <x:v>Kursanzahl</x:v>
      </x:c>
      <x:c r="C11" s="33"/>
      <x:c r="D11" s="33"/>
      <x:c r="E11" s="33"/>
      <x:c r="F11" s="33"/>
    </x:row>
    <x:row r="12">
      <x:c r="A12" s="33" t="str">
        <x:v>Strategy &amp; Business Model Skills</x:v>
      </x:c>
      <x:c r="B12" s="33" t="n">
        <x:f>COUNTIF('Aktuelle Kursliste'!A5:A100,"Strategy &amp; Business Model Skills")</x:f>
        <x:v>15</x:v>
      </x:c>
      <x:c r="C12" s="33"/>
      <x:c r="D12" s="42" t="str">
        <x:v>Hinweis zur Nutzung</x:v>
      </x:c>
      <x:c r="E12" s="42"/>
      <x:c r="F12" s="42"/>
    </x:row>
    <x:row r="13">
      <x:c r="A13" s="33" t="str">
        <x:v>Technical &amp; AI Literacy</x:v>
      </x:c>
      <x:c r="B13" s="33" t="n">
        <x:f>COUNTIF('Aktuelle Kursliste'!A5:A100,"Technical &amp; AI Literacy")</x:f>
        <x:v>15</x:v>
      </x:c>
      <x:c r="C13" s="33"/>
      <x:c r="D13" s="39" t="str">
        <x:v>Für die Präsentation beim Chef eignet sich zuerst das Blatt „Übersicht“. Die vollständige bereinigte Liste steht in „Aktuelle Kursliste“. Alle entfernten Altlinks und ihre Ersatzangebote sind im Blatt „Ersetzt &amp; gelöscht“ dokumentiert. Termine, Preise und freie Plätze können sich nach dem Prüfdatum ändern.</x:v>
      </x:c>
      <x:c r="E13" s="39"/>
      <x:c r="F13" s="39"/>
    </x:row>
    <x:row r="14">
      <x:c r="A14" s="33" t="str">
        <x:v>Governance Skills</x:v>
      </x:c>
      <x:c r="B14" s="33" t="n">
        <x:f>COUNTIF('Aktuelle Kursliste'!A5:A100,"Governance Skills")</x:f>
        <x:v>11</x:v>
      </x:c>
      <x:c r="C14" s="33"/>
      <x:c r="D14" s="39"/>
      <x:c r="E14" s="39"/>
      <x:c r="F14" s="39"/>
    </x:row>
    <x:row r="15">
      <x:c r="A15" s="33" t="str">
        <x:v>Data &amp; Analytics Skills</x:v>
      </x:c>
      <x:c r="B15" s="33" t="n">
        <x:f>COUNTIF('Aktuelle Kursliste'!A5:A100,"Data &amp; Analytics Skills")</x:f>
        <x:v>11</x:v>
      </x:c>
      <x:c r="C15" s="33"/>
      <x:c r="D15" s="39"/>
      <x:c r="E15" s="39"/>
      <x:c r="F15" s="39"/>
    </x:row>
    <x:row r="16">
      <x:c r="A16" s="33" t="str">
        <x:v>Compliance Skills</x:v>
      </x:c>
      <x:c r="B16" s="33" t="n">
        <x:f>COUNTIF('Aktuelle Kursliste'!A5:A100,"Compliance Skills")</x:f>
        <x:v>8</x:v>
      </x:c>
      <x:c r="C16" s="33"/>
      <x:c r="D16" s="39"/>
      <x:c r="E16" s="39"/>
      <x:c r="F16" s="39"/>
    </x:row>
    <x:row r="17">
      <x:c r="A17" s="33" t="str">
        <x:v>Team &amp; Leadership Skills</x:v>
      </x:c>
      <x:c r="B17" s="33" t="n">
        <x:f>COUNTIF('Aktuelle Kursliste'!A5:A100,"Team &amp; Leadership Skills")</x:f>
        <x:v>12</x:v>
      </x:c>
      <x:c r="C17" s="33"/>
      <x:c r="D17" s="39"/>
      <x:c r="E17" s="39"/>
      <x:c r="F17" s="39"/>
    </x:row>
    <x:row r="18">
      <x:c r="A18" s="33" t="str">
        <x:v>Platform &amp; Strategic Tool Skills</x:v>
      </x:c>
      <x:c r="B18" s="33" t="n">
        <x:f>COUNTIF('Aktuelle Kursliste'!A5:A100,"Platform &amp; Strategic Tool Skills")</x:f>
        <x:v>11</x:v>
      </x:c>
      <x:c r="C18" s="33"/>
      <x:c r="D18" s="39"/>
      <x:c r="E18" s="39"/>
      <x:c r="F18" s="39"/>
    </x:row>
    <x:row r="19">
      <x:c r="A19" s="33" t="str">
        <x:v>Soft Skills</x:v>
      </x:c>
      <x:c r="B19" s="33" t="n">
        <x:f>COUNTIF('Aktuelle Kursliste'!A5:A100,"Soft Skills")</x:f>
        <x:v>8</x:v>
      </x:c>
      <x:c r="C19" s="33"/>
      <x:c r="D19" s="33"/>
      <x:c r="E19" s="33"/>
      <x:c r="F19" s="33"/>
    </x:row>
    <x:row r="20">
      <x:c r="A20" s="33" t="str">
        <x:v>Hybrid Work &amp; Future Capability Skills</x:v>
      </x:c>
      <x:c r="B20" s="33" t="n">
        <x:f>COUNTIF('Aktuelle Kursliste'!A5:A100,"Hybrid Work &amp; Future Capability Skills")</x:f>
        <x:v>5</x:v>
      </x:c>
      <x:c r="C20" s="33"/>
      <x:c r="D20" s="33"/>
      <x:c r="E20" s="33"/>
      <x:c r="F20" s="33"/>
    </x:row>
  </x:sheetData>
  <x:mergeCells>
    <x:mergeCell ref="A1:F1"/>
    <x:mergeCell ref="A2:F2"/>
    <x:mergeCell ref="D4:F4"/>
    <x:mergeCell ref="D5:F10"/>
    <x:mergeCell ref="D12:F12"/>
    <x:mergeCell ref="D13:F18"/>
  </x:mergeCells>
  <x:pageMargins left="0.7" right="0.7" top="0.75" bottom="0.75" header="0.3" footer="0.3"/>
</x:worksheet>
</file>

<file path=xl/worksheets/sheet2.xml><?xml version="1.0" encoding="utf-8"?>
<x:worksheet xmlns:x="http://schemas.openxmlformats.org/spreadsheetml/2006/main">
  <x:sheetFormatPr defaultRowHeight="15"/>
  <x:cols>
    <x:col min="1" max="1" width="28" hidden="0" customWidth="1"/>
    <x:col min="2" max="2" width="36" hidden="0" customWidth="1"/>
    <x:col min="3" max="3" width="42" hidden="0" customWidth="1"/>
    <x:col min="4" max="4" width="13" hidden="0" customWidth="1"/>
    <x:col min="5" max="5" width="25" hidden="0" customWidth="1"/>
    <x:col min="6" max="6" width="38" hidden="0" customWidth="1"/>
    <x:col min="7" max="7" width="20" hidden="0" customWidth="1"/>
    <x:col min="8" max="8" width="31" hidden="0" customWidth="1"/>
    <x:col min="9" max="9" width="27" hidden="0" customWidth="1"/>
    <x:col min="10" max="10" width="28" hidden="0" customWidth="1"/>
    <x:col min="11" max="11" width="48" hidden="0" customWidth="1"/>
    <x:col min="12" max="12" width="46" hidden="0" customWidth="1"/>
    <x:col min="13" max="13" width="14" hidden="0" customWidth="1"/>
    <x:col min="14" max="14" width="32" hidden="0" customWidth="1"/>
  </x:cols>
  <x:sheetData>
    <x:row r="1" ht="30" customHeight="1">
      <x:c r="A1" s="5" t="str">
        <x:v>Bereinigte und erweiterte Kursliste</x:v>
      </x:c>
      <x:c r="B1" s="5"/>
      <x:c r="C1" s="5"/>
      <x:c r="D1" s="5"/>
      <x:c r="E1" s="5"/>
      <x:c r="F1" s="5"/>
      <x:c r="G1" s="5"/>
      <x:c r="H1" s="5"/>
      <x:c r="I1" s="5"/>
      <x:c r="J1" s="5"/>
      <x:c r="K1" s="5"/>
      <x:c r="L1" s="5"/>
      <x:c r="M1" s="5"/>
      <x:c r="N1" s="5"/>
    </x:row>
    <x:row r="2" ht="42" customHeight="1">
      <x:c r="A2" s="13" t="str">
        <x:v>Alte, nicht mehr vorhandene Links wurden aus dieser Hauptliste vollständig entfernt. Über den Filter können Skillsbereich, Status und Herkunft ausgewählt werden.</x:v>
      </x:c>
      <x:c r="B2" s="13"/>
      <x:c r="C2" s="13"/>
      <x:c r="D2" s="13"/>
      <x:c r="E2" s="13"/>
      <x:c r="F2" s="13"/>
      <x:c r="G2" s="13"/>
      <x:c r="H2" s="13"/>
      <x:c r="I2" s="13"/>
      <x:c r="J2" s="13"/>
      <x:c r="K2" s="13"/>
      <x:c r="L2" s="13"/>
      <x:c r="M2" s="13"/>
      <x:c r="N2" s="13"/>
    </x:row>
    <x:row r="4">
      <x:c r="A4" s="45" t="str">
        <x:v>Kompetenzbereich</x:v>
      </x:c>
      <x:c r="B4" s="45" t="str">
        <x:v>CEO-Kompetenz</x:v>
      </x:c>
      <x:c r="C4" s="45" t="str">
        <x:v>AI-First-CEO-Kompetenz</x:v>
      </x:c>
      <x:c r="D4" s="45" t="str">
        <x:v>Skill</x:v>
      </x:c>
      <x:c r="E4" s="45" t="str">
        <x:v>Anbieter</x:v>
      </x:c>
      <x:c r="F4" s="45" t="str">
        <x:v>Kursname</x:v>
      </x:c>
      <x:c r="G4" s="45" t="str">
        <x:v>Kursstatus</x:v>
      </x:c>
      <x:c r="H4" s="45" t="str">
        <x:v>Kursbeginn / Verfügbarkeit</x:v>
      </x:c>
      <x:c r="I4" s="45" t="str">
        <x:v>Durchführung</x:v>
      </x:c>
      <x:c r="J4" s="45" t="str">
        <x:v>Buchung / Zugang</x:v>
      </x:c>
      <x:c r="K4" s="45" t="str">
        <x:v>Kurslink</x:v>
      </x:c>
      <x:c r="L4" s="45" t="str">
        <x:v>Hinweis</x:v>
      </x:c>
      <x:c r="M4" s="45" t="str">
        <x:v>Geprüft am</x:v>
      </x:c>
      <x:c r="N4" s="45" t="str">
        <x:v>Herkunft</x:v>
      </x:c>
    </x:row>
    <x:row r="5">
      <x:c r="A5" s="59" t="str">
        <x:v>Strategy &amp; Business Model Skills</x:v>
      </x:c>
      <x:c r="B5" s="52" t="str">
        <x:v>Gesamtunternehmensstrategie &amp; Kapitalallokation</x:v>
      </x:c>
      <x:c r="C5" s="52" t="str">
        <x:v>Integration von KI in alle Geschäftsbereiche</x:v>
      </x:c>
      <x:c r="D5" s="52" t="str">
        <x:v>Erweitert</x:v>
      </x:c>
      <x:c r="E5" s="52" t="str">
        <x:v>Coursera</x:v>
      </x:c>
      <x:c r="F5" s="52" t="str">
        <x:v>Aligning Business Strategy for AI Integration</x:v>
      </x:c>
      <x:c r="G5" s="53" t="str">
        <x:v>Aktuell</x:v>
      </x:c>
      <x:c r="H5" s="52" t="str">
        <x:v>Jederzeit (flexibler Selbstlernkurs)</x:v>
      </x:c>
      <x:c r="I5" s="52" t="str">
        <x:v>Online</x:v>
      </x:c>
      <x:c r="J5" s="52" t="str">
        <x:v>Einschreibung möglich</x:v>
      </x:c>
      <x:c r="K5" s="52" t="str">
        <x:v>https://www.coursera.org/learn/aligning-business-strategy-for-ai-integration</x:v>
      </x:c>
      <x:c r="L5" s="52" t="str">
        <x:v>Kursseite aktiv; 9 Stunden, flexibler Zeitplan.</x:v>
      </x:c>
      <x:c r="M5" s="52" t="str">
        <x:v>30.06.2026</x:v>
      </x:c>
      <x:c r="N5" s="54" t="str">
        <x:v>Bestand aus Prüftabelle 30.06.2026</x:v>
      </x:c>
    </x:row>
    <x:row r="6">
      <x:c r="A6" s="35" t="str">
        <x:v>Strategy &amp; Business Model Skills</x:v>
      </x:c>
      <x:c r="B6" s="35" t="str">
        <x:v>Gesamtunternehmensstrategie &amp; Kapitalallokation</x:v>
      </x:c>
      <x:c r="C6" s="35" t="str">
        <x:v>Integration von KI in alle Geschäftsbereiche</x:v>
      </x:c>
      <x:c r="D6" s="35" t="str">
        <x:v>Erweitert</x:v>
      </x:c>
      <x:c r="E6" s="35" t="str">
        <x:v>Udemy</x:v>
      </x:c>
      <x:c r="F6" s="35" t="str">
        <x:v>AI Strategy: Transforming Businesses with AI</x:v>
      </x:c>
      <x:c r="G6" s="49" t="str">
        <x:v>Aktuell</x:v>
      </x:c>
      <x:c r="H6" s="35" t="str">
        <x:v>Jederzeit (on-demand)</x:v>
      </x:c>
      <x:c r="I6" s="35" t="str">
        <x:v>Online</x:v>
      </x:c>
      <x:c r="J6" s="35" t="str">
        <x:v>Kursseite aktiv / Kauf möglich</x:v>
      </x:c>
      <x:c r="K6" s="35" t="str">
        <x:v>https://www.udemy.com/course/ai-strategy-transforming-businesses-with-ai/</x:v>
      </x:c>
      <x:c r="L6" s="35" t="str">
        <x:v>Letzte Aktualisierung laut Seite: 12/2025.</x:v>
      </x:c>
      <x:c r="M6" s="35" t="str">
        <x:v>30.06.2026</x:v>
      </x:c>
      <x:c r="N6" s="35" t="str">
        <x:v>Bestand aus Prüftabelle 30.06.2026</x:v>
      </x:c>
    </x:row>
    <x:row r="7">
      <x:c r="A7" s="35" t="str">
        <x:v>Strategy &amp; Business Model Skills</x:v>
      </x:c>
      <x:c r="B7" s="35" t="str">
        <x:v>Gesamtunternehmensstrategie &amp; Kapitalallokation</x:v>
      </x:c>
      <x:c r="C7" s="35" t="str">
        <x:v>Integration von KI in alle Geschäftsbereiche</x:v>
      </x:c>
      <x:c r="D7" s="35" t="str">
        <x:v>Erweitert</x:v>
      </x:c>
      <x:c r="E7" s="35" t="str">
        <x:v>Henley Business School</x:v>
      </x:c>
      <x:c r="F7" s="35" t="str">
        <x:v>AI Strategy and Implementation</x:v>
      </x:c>
      <x:c r="G7" s="49" t="str">
        <x:v>Aktuell</x:v>
      </x:c>
      <x:c r="H7" s="35" t="str">
        <x:v>04.11.2026</x:v>
      </x:c>
      <x:c r="I7" s="35" t="str">
        <x:v>Vor Ort – Greenlands, UK</x:v>
      </x:c>
      <x:c r="J7" s="35" t="str">
        <x:v>Buchbar („Book now“)</x:v>
      </x:c>
      <x:c r="K7" s="35" t="str">
        <x:v>https://www.henley.ac.uk/study/corporate-development/henley-ai-strategy-and-implementation</x:v>
      </x:c>
      <x:c r="L7" s="35" t="str">
        <x:v>Öffentlich sichtbarer Zukunftstermin.</x:v>
      </x:c>
      <x:c r="M7" s="35" t="str">
        <x:v>30.06.2026</x:v>
      </x:c>
      <x:c r="N7" s="35" t="str">
        <x:v>Bestand aus Prüftabelle 30.06.2026</x:v>
      </x:c>
    </x:row>
    <x:row r="8">
      <x:c r="A8" s="35" t="str">
        <x:v>Strategy &amp; Business Model Skills</x:v>
      </x:c>
      <x:c r="B8" s="35" t="str">
        <x:v>Gesamtunternehmensstrategie &amp; Kapitalallokation</x:v>
      </x:c>
      <x:c r="C8" s="35" t="str">
        <x:v>Integration von KI in alle Geschäftsbereiche</x:v>
      </x:c>
      <x:c r="D8" s="35" t="str">
        <x:v>Erweitert</x:v>
      </x:c>
      <x:c r="E8" s="35" t="str">
        <x:v>Pideya Learning Academy</x:v>
      </x:c>
      <x:c r="F8" s="35" t="str">
        <x:v>AI in Business Strategy and Applications</x:v>
      </x:c>
      <x:c r="G8" s="63" t="str">
        <x:v>Aktiv – Termin offen</x:v>
      </x:c>
      <x:c r="H8" s="35" t="str">
        <x:v>Nicht öffentlich veröffentlicht / auf Anfrage</x:v>
      </x:c>
      <x:c r="I8" s="35" t="str">
        <x:v>Online, vor Ort oder Inhouse</x:v>
      </x:c>
      <x:c r="J8" s="35" t="str">
        <x:v>Anfrage / Registrierung</x:v>
      </x:c>
      <x:c r="K8" s="35" t="str">
        <x:v>https://pideyalearningacademy.com/course/ai-in-business-strategy-and-applications/</x:v>
      </x:c>
      <x:c r="L8" s="35" t="str">
        <x:v>Kursseite aktiv; keine konkrete künftige Kurszeit sichtbar.</x:v>
      </x:c>
      <x:c r="M8" s="35" t="str">
        <x:v>30.06.2026</x:v>
      </x:c>
      <x:c r="N8" s="35" t="str">
        <x:v>Bestand aus Prüftabelle 30.06.2026</x:v>
      </x:c>
    </x:row>
    <x:row r="9">
      <x:c r="A9" s="35" t="str">
        <x:v>Strategy &amp; Business Model Skills</x:v>
      </x:c>
      <x:c r="B9" s="35" t="str">
        <x:v>Business- &amp; Wachstumsmodelle</x:v>
      </x:c>
      <x:c r="C9" s="35" t="str">
        <x:v>Identifikation neuer AI-getriebener Geschäftsmodelle</x:v>
      </x:c>
      <x:c r="D9" s="35" t="str">
        <x:v>Erweitert</x:v>
      </x:c>
      <x:c r="E9" s="35" t="str">
        <x:v>Universität St. Gallen</x:v>
      </x:c>
      <x:c r="F9" s="35" t="str">
        <x:v>Strategy powered through AI</x:v>
      </x:c>
      <x:c r="G9" s="49" t="str">
        <x:v>Aktuell</x:v>
      </x:c>
      <x:c r="H9" s="35" t="str">
        <x:v>12.11.2026</x:v>
      </x:c>
      <x:c r="I9" s="35" t="str">
        <x:v>Vor Ort – St. Gallen, CH</x:v>
      </x:c>
      <x:c r="J9" s="35" t="str">
        <x:v>Plätze verfügbar</x:v>
      </x:c>
      <x:c r="K9" s="35" t="str">
        <x:v>https://es.unisg.ch/de/weiterbildung/strategy-powered-through-ai/</x:v>
      </x:c>
      <x:c r="L9" s="35" t="str">
        <x:v>Präsenzprogramm; Anmeldefrist 05.11.2026.</x:v>
      </x:c>
      <x:c r="M9" s="35" t="str">
        <x:v>30.06.2026</x:v>
      </x:c>
      <x:c r="N9" s="35" t="str">
        <x:v>Bestand aus Prüftabelle 30.06.2026</x:v>
      </x:c>
    </x:row>
    <x:row r="10">
      <x:c r="A10" s="35" t="str">
        <x:v>Strategy &amp; Business Model Skills</x:v>
      </x:c>
      <x:c r="B10" s="35" t="str">
        <x:v>Business- &amp; Wachstumsmodelle</x:v>
      </x:c>
      <x:c r="C10" s="35" t="str">
        <x:v>Identifikation neuer AI-getriebener Geschäftsmodelle</x:v>
      </x:c>
      <x:c r="D10" s="35" t="str">
        <x:v>Erweitert</x:v>
      </x:c>
      <x:c r="E10" s="35" t="str">
        <x:v>Udemy</x:v>
      </x:c>
      <x:c r="F10" s="35" t="str">
        <x:v>Artificial Intelligence and Business Strategy</x:v>
      </x:c>
      <x:c r="G10" s="49" t="str">
        <x:v>Aktuell</x:v>
      </x:c>
      <x:c r="H10" s="35" t="str">
        <x:v>Jederzeit (on-demand)</x:v>
      </x:c>
      <x:c r="I10" s="35" t="str">
        <x:v>Online</x:v>
      </x:c>
      <x:c r="J10" s="35" t="str">
        <x:v>Kursseite aktiv / Kauf möglich</x:v>
      </x:c>
      <x:c r="K10" s="35" t="str">
        <x:v>https://www.udemy.com/course/artificial-intelligence-and-business-strategy-f/</x:v>
      </x:c>
      <x:c r="L10" s="35" t="str">
        <x:v>Letzte Aktualisierung laut Seite: 01/2026.</x:v>
      </x:c>
      <x:c r="M10" s="35" t="str">
        <x:v>30.06.2026</x:v>
      </x:c>
      <x:c r="N10" s="35" t="str">
        <x:v>Bestand aus Prüftabelle 30.06.2026</x:v>
      </x:c>
    </x:row>
    <x:row r="11">
      <x:c r="A11" s="35" t="str">
        <x:v>Strategy &amp; Business Model Skills</x:v>
      </x:c>
      <x:c r="B11" s="35" t="str">
        <x:v>Szenarioplanung &amp; Board-Entscheidungen</x:v>
      </x:c>
      <x:c r="C11" s="35" t="str">
        <x:v>Szenario- und Risikoplanung für AI-Einsätze</x:v>
      </x:c>
      <x:c r="D11" s="35" t="str">
        <x:v>Erweitert</x:v>
      </x:c>
      <x:c r="E11" s="35" t="str">
        <x:v>Corporate Finance Institute</x:v>
      </x:c>
      <x:c r="F11" s="35" t="str">
        <x:v>AI-Powered Scenario Analysis</x:v>
      </x:c>
      <x:c r="G11" s="49" t="str">
        <x:v>Aktuell</x:v>
      </x:c>
      <x:c r="H11" s="35" t="str">
        <x:v>Jederzeit (selbstgesteuert)</x:v>
      </x:c>
      <x:c r="I11" s="35" t="str">
        <x:v>Online</x:v>
      </x:c>
      <x:c r="J11" s="35" t="str">
        <x:v>„Start Learning“</x:v>
      </x:c>
      <x:c r="K11" s="35" t="str">
        <x:v>https://corporatefinanceinstitute.com/course/ai-powered-scenario-analysis/</x:v>
      </x:c>
      <x:c r="L11" s="35" t="str">
        <x:v>100 % online; ca. 2,5 Stunden.</x:v>
      </x:c>
      <x:c r="M11" s="35" t="str">
        <x:v>30.06.2026</x:v>
      </x:c>
      <x:c r="N11" s="35" t="str">
        <x:v>Bestand aus Prüftabelle 30.06.2026</x:v>
      </x:c>
    </x:row>
    <x:row r="12">
      <x:c r="A12" s="35" t="str">
        <x:v>Strategy &amp; Business Model Skills</x:v>
      </x:c>
      <x:c r="B12" s="35" t="str">
        <x:v>Szenarioplanung &amp; Board-Entscheidungen</x:v>
      </x:c>
      <x:c r="C12" s="35" t="str">
        <x:v>Szenario- und Risikoplanung für AI-Einsätze</x:v>
      </x:c>
      <x:c r="D12" s="35" t="str">
        <x:v>Erweitert</x:v>
      </x:c>
      <x:c r="E12" s="35" t="str">
        <x:v>Media Economics</x:v>
      </x:c>
      <x:c r="F12" s="35" t="str">
        <x:v>Strategisches Management mit KI</x:v>
      </x:c>
      <x:c r="G12" s="63" t="str">
        <x:v>Aktiv – Termin offen</x:v>
      </x:c>
      <x:c r="H12" s="35" t="str">
        <x:v>Kein Zukunftstermin sichtbar; letzter Termin 29.06.2026</x:v>
      </x:c>
      <x:c r="I12" s="35" t="str">
        <x:v>Online</x:v>
      </x:c>
      <x:c r="J12" s="35" t="str">
        <x:v>Derzeit kein neuer Termin sichtbar</x:v>
      </x:c>
      <x:c r="K12" s="35" t="str">
        <x:v>https://media-economics.de/strategisches-management-mit-ki/</x:v>
      </x:c>
      <x:c r="L12" s="35" t="str">
        <x:v>Kursseite aktiv; weitere Termine 2026 angekündigt.</x:v>
      </x:c>
      <x:c r="M12" s="35" t="str">
        <x:v>30.06.2026</x:v>
      </x:c>
      <x:c r="N12" s="35" t="str">
        <x:v>Bestand aus Prüftabelle 30.06.2026</x:v>
      </x:c>
    </x:row>
    <x:row r="13">
      <x:c r="A13" s="35" t="str">
        <x:v>Strategy &amp; Business Model Skills</x:v>
      </x:c>
      <x:c r="B13" s="35" t="str">
        <x:v>Strategie-Frameworks (Porter, McKinsey Horizons, OKRs, Balanced Scorecard)</x:v>
      </x:c>
      <x:c r="C13" s="35" t="str">
        <x:v>Strategische Priorisierung von KI-Use-Cases</x:v>
      </x:c>
      <x:c r="D13" s="35" t="str">
        <x:v>Neu</x:v>
      </x:c>
      <x:c r="E13" s="35" t="str">
        <x:v>Udemy</x:v>
      </x:c>
      <x:c r="F13" s="35" t="str">
        <x:v>AI Strategy: Transforming Businesses with AI</x:v>
      </x:c>
      <x:c r="G13" s="49" t="str">
        <x:v>Aktuell</x:v>
      </x:c>
      <x:c r="H13" s="35" t="str">
        <x:v>Jederzeit (on-demand)</x:v>
      </x:c>
      <x:c r="I13" s="35" t="str">
        <x:v>Online</x:v>
      </x:c>
      <x:c r="J13" s="35" t="str">
        <x:v>Kursseite aktiv / Kauf möglich</x:v>
      </x:c>
      <x:c r="K13" s="35" t="str">
        <x:v>https://www.udemy.com/course/ai-strategy-transforming-businesses-with-ai/</x:v>
      </x:c>
      <x:c r="L13" s="35" t="str">
        <x:v>Letzte Aktualisierung laut Seite: 12/2025.</x:v>
      </x:c>
      <x:c r="M13" s="35" t="str">
        <x:v>30.06.2026</x:v>
      </x:c>
      <x:c r="N13" s="35" t="str">
        <x:v>Bestand aus Prüftabelle 30.06.2026</x:v>
      </x:c>
    </x:row>
    <x:row r="14">
      <x:c r="A14" s="35" t="str">
        <x:v>Strategy &amp; Business Model Skills</x:v>
      </x:c>
      <x:c r="B14" s="35" t="str">
        <x:v>Strategie-Frameworks (Porter, McKinsey Horizons, OKRs, Balanced Scorecard)</x:v>
      </x:c>
      <x:c r="C14" s="35" t="str">
        <x:v>Strategische Priorisierung von KI-Use-Cases</x:v>
      </x:c>
      <x:c r="D14" s="35" t="str">
        <x:v>Neu</x:v>
      </x:c>
      <x:c r="E14" s="35" t="str">
        <x:v>Henley Business School</x:v>
      </x:c>
      <x:c r="F14" s="35" t="str">
        <x:v>AI Strategy and Implementation</x:v>
      </x:c>
      <x:c r="G14" s="49" t="str">
        <x:v>Aktuell</x:v>
      </x:c>
      <x:c r="H14" s="35" t="str">
        <x:v>04.11.2026</x:v>
      </x:c>
      <x:c r="I14" s="35" t="str">
        <x:v>Vor Ort – Greenlands, UK</x:v>
      </x:c>
      <x:c r="J14" s="35" t="str">
        <x:v>Buchbar („Book now“)</x:v>
      </x:c>
      <x:c r="K14" s="35" t="str">
        <x:v>https://www.henley.ac.uk/study/corporate-development/henley-ai-strategy-and-implementation</x:v>
      </x:c>
      <x:c r="L14" s="35" t="str">
        <x:v>Öffentlich sichtbarer Zukunftstermin.</x:v>
      </x:c>
      <x:c r="M14" s="35" t="str">
        <x:v>30.06.2026</x:v>
      </x:c>
      <x:c r="N14" s="35" t="str">
        <x:v>Bestand aus Prüftabelle 30.06.2026</x:v>
      </x:c>
    </x:row>
    <x:row r="15">
      <x:c r="A15" s="35" t="str">
        <x:v>Strategy &amp; Business Model Skills</x:v>
      </x:c>
      <x:c r="B15" s="35" t="str">
        <x:v>Strategie-Frameworks (Porter, McKinsey Horizons, OKRs, Balanced Scorecard)</x:v>
      </x:c>
      <x:c r="C15" s="35" t="str">
        <x:v>Strategische Priorisierung von KI-Use-Cases</x:v>
      </x:c>
      <x:c r="D15" s="35" t="str">
        <x:v>Neu</x:v>
      </x:c>
      <x:c r="E15" s="35" t="str">
        <x:v>Smartnet Academy</x:v>
      </x:c>
      <x:c r="F15" s="35" t="str">
        <x:v>AI for Managers: Lead AI Strategy, Teams &amp; Innovation</x:v>
      </x:c>
      <x:c r="G15" s="49" t="str">
        <x:v>Aktuell</x:v>
      </x:c>
      <x:c r="H15" s="35" t="str">
        <x:v>Jederzeit (on-demand)</x:v>
      </x:c>
      <x:c r="I15" s="35" t="str">
        <x:v>Online</x:v>
      </x:c>
      <x:c r="J15" s="35" t="str">
        <x:v>Kauf möglich</x:v>
      </x:c>
      <x:c r="K15" s="35" t="str">
        <x:v>https://smartnetacademy.com/courses/ai-for-managers-course-lead-ai-strategy-teams-and-innovation-without-coding/</x:v>
      </x:c>
      <x:c r="L15" s="35" t="str">
        <x:v>Offizielle Kursseite am 15.07.2026 bestätigt.</x:v>
      </x:c>
      <x:c r="M15" s="35" t="str">
        <x:v>15.07.2026</x:v>
      </x:c>
      <x:c r="N15" s="35" t="str">
        <x:v>Bestand – am 15.07.2026 erneut bestätigt</x:v>
      </x:c>
    </x:row>
    <x:row r="16">
      <x:c r="A16" s="35" t="str">
        <x:v>Strategy &amp; Business Model Skills</x:v>
      </x:c>
      <x:c r="B16" s="35" t="str">
        <x:v>Business- &amp; Wachstumsmodelle</x:v>
      </x:c>
      <x:c r="C16" s="35" t="str">
        <x:v>Identifikation neuer AI-getriebener Geschäftsmodelle</x:v>
      </x:c>
      <x:c r="D16" s="35" t="str">
        <x:v>Erweitert</x:v>
      </x:c>
      <x:c r="E16" s="35" t="str">
        <x:v>Smartnet Academy</x:v>
      </x:c>
      <x:c r="F16" s="35" t="str">
        <x:v>AI and Business Model Innovation</x:v>
      </x:c>
      <x:c r="G16" s="49" t="str">
        <x:v>Aktuell</x:v>
      </x:c>
      <x:c r="H16" s="35" t="str">
        <x:v>Jederzeit (on-demand)</x:v>
      </x:c>
      <x:c r="I16" s="35" t="str">
        <x:v>Online</x:v>
      </x:c>
      <x:c r="J16" s="35" t="str">
        <x:v>Kauf / Einschreibung möglich</x:v>
      </x:c>
      <x:c r="K16" s="35" t="str">
        <x:v>https://smartnetacademy.com/courses/ai-and-business-model-innovation/</x:v>
      </x:c>
      <x:c r="L16" s="35" t="str">
        <x:v>Kurs ist unter neuem Titel und neuer URL verfügbar.</x:v>
      </x:c>
      <x:c r="M16" s="35" t="str">
        <x:v>15.07.2026</x:v>
      </x:c>
      <x:c r="N16" s="49" t="str">
        <x:v>Ersatz für nicht mehr vorhandenen Kurs</x:v>
      </x:c>
    </x:row>
    <x:row r="17">
      <x:c r="A17" s="35" t="str">
        <x:v>Strategy &amp; Business Model Skills</x:v>
      </x:c>
      <x:c r="B17" s="35" t="str">
        <x:v>Gesamtunternehmensstrategie &amp; Kapitalallokation</x:v>
      </x:c>
      <x:c r="C17" s="35" t="str">
        <x:v>AI-Strategie mit Geschäftsmodell, Wertbeitrag und Skalierung verbinden</x:v>
      </x:c>
      <x:c r="D17" s="35" t="str">
        <x:v>Neu</x:v>
      </x:c>
      <x:c r="E17" s="35" t="str">
        <x:v>MIT Sloan Executive Education</x:v>
      </x:c>
      <x:c r="F17" s="35" t="str">
        <x:v>Artificial Intelligence: Implications for Business Strategy</x:v>
      </x:c>
      <x:c r="G17" s="49" t="str">
        <x:v>Aktuell</x:v>
      </x:c>
      <x:c r="H17" s="35" t="str">
        <x:v>Mehrere Online-Termine laut Anbieter</x:v>
      </x:c>
      <x:c r="I17" s="35" t="str">
        <x:v>Online</x:v>
      </x:c>
      <x:c r="J17" s="35" t="str">
        <x:v>Anmeldung über Anbieter</x:v>
      </x:c>
      <x:c r="K17" s="35" t="str">
        <x:v>https://executive.mit.edu/course/artificial-intelligence/a056g00000URaa3AAD.html</x:v>
      </x:c>
      <x:c r="L17" s="35" t="str">
        <x:v>Executive-Kurs zur strategischen Einordnung und Nutzung von AI.</x:v>
      </x:c>
      <x:c r="M17" s="35" t="str">
        <x:v>15.07.2026</x:v>
      </x:c>
      <x:c r="N17" s="67" t="str">
        <x:v>Neu recherchiert</x:v>
      </x:c>
    </x:row>
    <x:row r="18">
      <x:c r="A18" s="35" t="str">
        <x:v>Strategy &amp; Business Model Skills</x:v>
      </x:c>
      <x:c r="B18" s="35" t="str">
        <x:v>Business- &amp; Wachstumsmodelle</x:v>
      </x:c>
      <x:c r="C18" s="35" t="str">
        <x:v>AI-Initiativen an Geschäftszielen ausrichten und skalieren</x:v>
      </x:c>
      <x:c r="D18" s="35" t="str">
        <x:v>Neu</x:v>
      </x:c>
      <x:c r="E18" s="35" t="str">
        <x:v>INSEAD</x:v>
      </x:c>
      <x:c r="F18" s="35" t="str">
        <x:v>Transforming Your Business with AI</x:v>
      </x:c>
      <x:c r="G18" s="49" t="str">
        <x:v>Aktuell</x:v>
      </x:c>
      <x:c r="H18" s="35" t="str">
        <x:v>21.09.2026; weitere Termine 2027</x:v>
      </x:c>
      <x:c r="I18" s="35" t="str">
        <x:v>Online – 5 Inhaltswochen</x:v>
      </x:c>
      <x:c r="J18" s="35" t="str">
        <x:v>Anmeldung möglich</x:v>
      </x:c>
      <x:c r="K18" s="35" t="str">
        <x:v>https://www.insead.edu/executive-education/open-online-programmes/transform-business-ai</x:v>
      </x:c>
      <x:c r="L18" s="35" t="str">
        <x:v>Praktische Frameworks für AI-Strategie, Organisation und Umsetzung.</x:v>
      </x:c>
      <x:c r="M18" s="35" t="str">
        <x:v>15.07.2026</x:v>
      </x:c>
      <x:c r="N18" s="67" t="str">
        <x:v>Neu recherchiert</x:v>
      </x:c>
    </x:row>
    <x:row r="19">
      <x:c r="A19" s="35" t="str">
        <x:v>Strategy &amp; Business Model Skills</x:v>
      </x:c>
      <x:c r="B19" s="35" t="str">
        <x:v>Business- &amp; Wachstumsmodelle</x:v>
      </x:c>
      <x:c r="C19" s="35" t="str">
        <x:v>Neue Anwendungsfelder und Geschäftschancen mit Generative AI bewerten</x:v>
      </x:c>
      <x:c r="D19" s="35" t="str">
        <x:v>Neu</x:v>
      </x:c>
      <x:c r="E19" s="35" t="str">
        <x:v>Stanford Online</x:v>
      </x:c>
      <x:c r="F19" s="35" t="str">
        <x:v>Business Opportunities and Applications of Generative AI</x:v>
      </x:c>
      <x:c r="G19" s="49" t="str">
        <x:v>Aktuell</x:v>
      </x:c>
      <x:c r="H19" s="35" t="str">
        <x:v>Online / nach Anbieterplanung</x:v>
      </x:c>
      <x:c r="I19" s="35" t="str">
        <x:v>Online</x:v>
      </x:c>
      <x:c r="J19" s="35" t="str">
        <x:v>Kursseite aktiv</x:v>
      </x:c>
      <x:c r="K19" s="35" t="str">
        <x:v>https://online.stanford.edu/courses/xfm111-business-opportunities-and-applications-generative-ai</x:v>
      </x:c>
      <x:c r="L19" s="35" t="str">
        <x:v>Fokus auf geschäftliche Chancen und Einsatzfelder generativer AI.</x:v>
      </x:c>
      <x:c r="M19" s="35" t="str">
        <x:v>15.07.2026</x:v>
      </x:c>
      <x:c r="N19" s="67" t="str">
        <x:v>Neu recherchiert</x:v>
      </x:c>
    </x:row>
    <x:row r="20">
      <x:c r="A20" s="59" t="str">
        <x:v>Technical &amp; AI Literacy</x:v>
      </x:c>
      <x:c r="B20" s="52" t="str">
        <x:v>AI Literacy (was KI kann / nicht kann)</x:v>
      </x:c>
      <x:c r="C20" s="52" t="str">
        <x:v>Grundverständnis von ML, LLMs &amp; Generative AI</x:v>
      </x:c>
      <x:c r="D20" s="52" t="str">
        <x:v>Erweitert</x:v>
      </x:c>
      <x:c r="E20" s="52" t="str">
        <x:v>Elements of AI</x:v>
      </x:c>
      <x:c r="F20" s="52" t="str">
        <x:v>Elements of AI: Introduction to AI / Building AI</x:v>
      </x:c>
      <x:c r="G20" s="53" t="str">
        <x:v>Aktuell</x:v>
      </x:c>
      <x:c r="H20" s="52" t="str">
        <x:v>Jederzeit (selbstgesteuert)</x:v>
      </x:c>
      <x:c r="I20" s="52" t="str">
        <x:v>Online</x:v>
      </x:c>
      <x:c r="J20" s="52" t="str">
        <x:v>Kostenlose Registrierung</x:v>
      </x:c>
      <x:c r="K20" s="52" t="str">
        <x:v>https://www.elementsofai.com/</x:v>
      </x:c>
      <x:c r="L20" s="52" t="str">
        <x:v>Kostenloser Onlinekurs; Plattform aktiv.</x:v>
      </x:c>
      <x:c r="M20" s="52" t="str">
        <x:v>30.06.2026</x:v>
      </x:c>
      <x:c r="N20" s="54" t="str">
        <x:v>Bestand aus Prüftabelle 30.06.2026</x:v>
      </x:c>
    </x:row>
    <x:row r="21">
      <x:c r="A21" s="35" t="str">
        <x:v>Technical &amp; AI Literacy</x:v>
      </x:c>
      <x:c r="B21" s="35" t="str">
        <x:v>AI Literacy (was KI kann / nicht kann)</x:v>
      </x:c>
      <x:c r="C21" s="35" t="str">
        <x:v>Grundverständnis von ML, LLMs &amp; Generative AI</x:v>
      </x:c>
      <x:c r="D21" s="35" t="str">
        <x:v>Erweitert</x:v>
      </x:c>
      <x:c r="E21" s="35" t="str">
        <x:v>Coursera</x:v>
      </x:c>
      <x:c r="F21" s="35" t="str">
        <x:v>Machine Learning for Business / Technical Decision Makers</x:v>
      </x:c>
      <x:c r="G21" s="49" t="str">
        <x:v>Aktuell</x:v>
      </x:c>
      <x:c r="H21" s="35" t="str">
        <x:v>Jederzeit (flexibler Selbstlernkurs)</x:v>
      </x:c>
      <x:c r="I21" s="35" t="str">
        <x:v>Online</x:v>
      </x:c>
      <x:c r="J21" s="35" t="str">
        <x:v>Einschreibung möglich</x:v>
      </x:c>
      <x:c r="K21" s="35" t="str">
        <x:v>https://www.coursera.org/learn/machine-learning-for-business--technical-decision-makers</x:v>
      </x:c>
      <x:c r="L21" s="35" t="str">
        <x:v>Kursseite aktiv; flexibler Zeitplan.</x:v>
      </x:c>
      <x:c r="M21" s="35" t="str">
        <x:v>30.06.2026</x:v>
      </x:c>
      <x:c r="N21" s="35" t="str">
        <x:v>Bestand aus Prüftabelle 30.06.2026</x:v>
      </x:c>
    </x:row>
    <x:row r="22">
      <x:c r="A22" s="35" t="str">
        <x:v>Technical &amp; AI Literacy</x:v>
      </x:c>
      <x:c r="B22" s="35" t="str">
        <x:v>Unterschied: Automatisierung vs. KI vs. Generative KI</x:v>
      </x:c>
      <x:c r="C22" s="35" t="str">
        <x:v>Kenntnis der Möglichkeiten und Grenzen von AI</x:v>
      </x:c>
      <x:c r="D22" s="35" t="str">
        <x:v>Erweitert</x:v>
      </x:c>
      <x:c r="E22" s="35" t="str">
        <x:v>Udemy</x:v>
      </x:c>
      <x:c r="F22" s="35" t="str">
        <x:v>Generative AI for Leaders: AI Strategy &amp; Decision-Making</x:v>
      </x:c>
      <x:c r="G22" s="49" t="str">
        <x:v>Aktuell</x:v>
      </x:c>
      <x:c r="H22" s="35" t="str">
        <x:v>Jederzeit (on-demand)</x:v>
      </x:c>
      <x:c r="I22" s="35" t="str">
        <x:v>Online</x:v>
      </x:c>
      <x:c r="J22" s="35" t="str">
        <x:v>Kursseite aktiv / Kauf möglich</x:v>
      </x:c>
      <x:c r="K22" s="35" t="str">
        <x:v>https://www.udemy.com/course/generative-ai-for-leaders-ai-strategy-decision-making/</x:v>
      </x:c>
      <x:c r="L22" s="35" t="str">
        <x:v>Letzte Aktualisierung laut Seite: 02/2025.</x:v>
      </x:c>
      <x:c r="M22" s="35" t="str">
        <x:v>30.06.2026</x:v>
      </x:c>
      <x:c r="N22" s="35" t="str">
        <x:v>Bestand aus Prüftabelle 30.06.2026</x:v>
      </x:c>
    </x:row>
    <x:row r="23">
      <x:c r="A23" s="35" t="str">
        <x:v>Technical &amp; AI Literacy</x:v>
      </x:c>
      <x:c r="B23" s="35" t="str">
        <x:v>Unterschied: Automatisierung vs. KI vs. Generative KI</x:v>
      </x:c>
      <x:c r="C23" s="35" t="str">
        <x:v>Kenntnis der Möglichkeiten und Grenzen von AI</x:v>
      </x:c>
      <x:c r="D23" s="35" t="str">
        <x:v>Erweitert</x:v>
      </x:c>
      <x:c r="E23" s="35" t="str">
        <x:v>TD SYNNEX</x:v>
      </x:c>
      <x:c r="F23" s="35" t="str">
        <x:v>Empower Decision Makers with Generative AI</x:v>
      </x:c>
      <x:c r="G23" s="49" t="str">
        <x:v>Aktuell</x:v>
      </x:c>
      <x:c r="H23" s="35" t="str">
        <x:v>23.10.2026</x:v>
      </x:c>
      <x:c r="I23" s="35" t="str">
        <x:v>Online – Virtual Classroom</x:v>
      </x:c>
      <x:c r="J23" s="35" t="str">
        <x:v>Termin angezeigt / buchbar</x:v>
      </x:c>
      <x:c r="K23" s="35" t="str">
        <x:v>https://academy.tdsynnex.com/de/training/course/gc-edmgai/</x:v>
      </x:c>
      <x:c r="L23" s="35" t="str">
        <x:v>Öffentlich sichtbarer Kurs am 23.10.2026.</x:v>
      </x:c>
      <x:c r="M23" s="35" t="str">
        <x:v>30.06.2026</x:v>
      </x:c>
      <x:c r="N23" s="35" t="str">
        <x:v>Bestand aus Prüftabelle 30.06.2026</x:v>
      </x:c>
    </x:row>
    <x:row r="24">
      <x:c r="A24" s="35" t="str">
        <x:v>Technical &amp; AI Literacy</x:v>
      </x:c>
      <x:c r="B24" s="35" t="str">
        <x:v>Grundverständnis von Cloud &amp; Software-Plattformen</x:v>
      </x:c>
      <x:c r="C24" s="35" t="str">
        <x:v>Awareness für AI-Infrastruktur, Cloud &amp; Data Pipelines</x:v>
      </x:c>
      <x:c r="D24" s="35" t="str">
        <x:v>Erweitert</x:v>
      </x:c>
      <x:c r="E24" s="35" t="str">
        <x:v>Coursera / Google Cloud</x:v>
      </x:c>
      <x:c r="F24" s="35" t="str">
        <x:v>Introduction to AI and Machine Learning on Google Cloud (Deutsch)</x:v>
      </x:c>
      <x:c r="G24" s="49" t="str">
        <x:v>Aktuell</x:v>
      </x:c>
      <x:c r="H24" s="35" t="str">
        <x:v>Jederzeit (flexibler Selbstlernkurs)</x:v>
      </x:c>
      <x:c r="I24" s="35" t="str">
        <x:v>Online</x:v>
      </x:c>
      <x:c r="J24" s="35" t="str">
        <x:v>Einschreibung möglich</x:v>
      </x:c>
      <x:c r="K24" s="35" t="str">
        <x:v>https://www.coursera.org/learn/introduction-to-ai-and-machine-learning-on-google-cloud-de</x:v>
      </x:c>
      <x:c r="L24" s="35" t="str">
        <x:v>Kursseite aktiv; Google-Cloud-Weiterbildung.</x:v>
      </x:c>
      <x:c r="M24" s="35" t="str">
        <x:v>30.06.2026</x:v>
      </x:c>
      <x:c r="N24" s="35" t="str">
        <x:v>Bestand aus Prüftabelle 30.06.2026</x:v>
      </x:c>
    </x:row>
    <x:row r="25">
      <x:c r="A25" s="35" t="str">
        <x:v>Technical &amp; AI Literacy</x:v>
      </x:c>
      <x:c r="B25" s="35" t="str">
        <x:v>Grundverständnis von Cloud &amp; Software-Plattformen</x:v>
      </x:c>
      <x:c r="C25" s="35" t="str">
        <x:v>Awareness für AI-Infrastruktur, Cloud &amp; Data Pipelines</x:v>
      </x:c>
      <x:c r="D25" s="35" t="str">
        <x:v>Erweitert</x:v>
      </x:c>
      <x:c r="E25" s="35" t="str">
        <x:v>SabaKharbor</x:v>
      </x:c>
      <x:c r="F25" s="35" t="str">
        <x:v>Data Engineering</x:v>
      </x:c>
      <x:c r="G25" s="63" t="str">
        <x:v>Aktiv – Termin offen</x:v>
      </x:c>
      <x:c r="H25" s="35" t="str">
        <x:v>Nicht öffentlich veröffentlicht</x:v>
      </x:c>
      <x:c r="I25" s="35" t="str">
        <x:v>Nicht eindeutig veröffentlicht</x:v>
      </x:c>
      <x:c r="J25" s="35" t="str">
        <x:v>Anfrage erforderlich</x:v>
      </x:c>
      <x:c r="K25" s="35" t="str">
        <x:v>https://www.sabakharbor.com/data-engineering/</x:v>
      </x:c>
      <x:c r="L25" s="35" t="str">
        <x:v>Kursseite erreichbar; konkrete Termine/Format nicht klar sichtbar.</x:v>
      </x:c>
      <x:c r="M25" s="35" t="str">
        <x:v>30.06.2026</x:v>
      </x:c>
      <x:c r="N25" s="35" t="str">
        <x:v>Bestand aus Prüftabelle 30.06.2026</x:v>
      </x:c>
    </x:row>
    <x:row r="26">
      <x:c r="A26" s="35" t="str">
        <x:v>Technical &amp; AI Literacy</x:v>
      </x:c>
      <x:c r="B26" s="35" t="str">
        <x:v>Keine Architektur-, Modell- oder Coding-Tiefe</x:v>
      </x:c>
      <x:c r="C26" s="35" t="str">
        <x:v>Fähigkeit, technologische Entscheidungen auf hoher Ebene zu bewerten</x:v>
      </x:c>
      <x:c r="D26" s="35" t="str">
        <x:v>Erweitert</x:v>
      </x:c>
      <x:c r="E26" s="35" t="str">
        <x:v>Udemy</x:v>
      </x:c>
      <x:c r="F26" s="35" t="str">
        <x:v>Generative AI for Leaders (Seite umbenannt: Modern AI Workflows Tools for Tech Leadership)</x:v>
      </x:c>
      <x:c r="G26" s="49" t="str">
        <x:v>Aktuell</x:v>
      </x:c>
      <x:c r="H26" s="35" t="str">
        <x:v>Jederzeit (on-demand)</x:v>
      </x:c>
      <x:c r="I26" s="35" t="str">
        <x:v>Online</x:v>
      </x:c>
      <x:c r="J26" s="35" t="str">
        <x:v>Kursseite aktiv / Kauf möglich</x:v>
      </x:c>
      <x:c r="K26" s="35" t="str">
        <x:v>https://www.udemy.com/course/generativeai-for-leaders/</x:v>
      </x:c>
      <x:c r="L26" s="35" t="str">
        <x:v>Kursseite aktiv; letzte Aktualisierung laut Seite: 05/2025.</x:v>
      </x:c>
      <x:c r="M26" s="35" t="str">
        <x:v>30.06.2026</x:v>
      </x:c>
      <x:c r="N26" s="35" t="str">
        <x:v>Bestand aus Prüftabelle 30.06.2026</x:v>
      </x:c>
    </x:row>
    <x:row r="27">
      <x:c r="A27" s="35" t="str">
        <x:v>Technical &amp; AI Literacy</x:v>
      </x:c>
      <x:c r="B27" s="35" t="str">
        <x:v>Keine Architektur-, Modell- oder Coding-Tiefe</x:v>
      </x:c>
      <x:c r="C27" s="35" t="str">
        <x:v>Fähigkeit, technologische Entscheidungen auf hoher Ebene zu bewerten</x:v>
      </x:c>
      <x:c r="D27" s="35" t="str">
        <x:v>Erweitert</x:v>
      </x:c>
      <x:c r="E27" s="35" t="str">
        <x:v>Haufe Akademie</x:v>
      </x:c>
      <x:c r="F27" s="35" t="str">
        <x:v>Von Machine Learning zur KI</x:v>
      </x:c>
      <x:c r="G27" s="49" t="str">
        <x:v>Aktuell</x:v>
      </x:c>
      <x:c r="H27" s="35" t="str">
        <x:v>13.08.2026</x:v>
      </x:c>
      <x:c r="I27" s="35" t="str">
        <x:v>Online – LiveOnline / Zoom</x:v>
      </x:c>
      <x:c r="J27" s="35" t="str">
        <x:v>Mehrere Termine sichtbar</x:v>
      </x:c>
      <x:c r="K27" s="35" t="str">
        <x:v>https://www.haufe-akademie.de/42573</x:v>
      </x:c>
      <x:c r="L27" s="35" t="str">
        <x:v>Weitere sichtbare Termine: 27.08. und 03.12.2026.</x:v>
      </x:c>
      <x:c r="M27" s="35" t="str">
        <x:v>30.06.2026</x:v>
      </x:c>
      <x:c r="N27" s="35" t="str">
        <x:v>Bestand aus Prüftabelle 30.06.2026</x:v>
      </x:c>
    </x:row>
    <x:row r="28">
      <x:c r="A28" s="35" t="str">
        <x:v>Technical &amp; AI Literacy</x:v>
      </x:c>
      <x:c r="B28" s="35" t="str">
        <x:v>Keine Architektur-, Modell- oder Coding-Tiefe</x:v>
      </x:c>
      <x:c r="C28" s="35" t="str">
        <x:v>Fähigkeit, technologische Entscheidungen auf hoher Ebene zu bewerten</x:v>
      </x:c>
      <x:c r="D28" s="35" t="str">
        <x:v>Erweitert</x:v>
      </x:c>
      <x:c r="E28" s="35" t="str">
        <x:v>Udemy</x:v>
      </x:c>
      <x:c r="F28" s="35" t="str">
        <x:v>Generative AI Strategy, Governance &amp; MLOps for Business</x:v>
      </x:c>
      <x:c r="G28" s="49" t="str">
        <x:v>Aktuell</x:v>
      </x:c>
      <x:c r="H28" s="35" t="str">
        <x:v>Jederzeit (on-demand)</x:v>
      </x:c>
      <x:c r="I28" s="35" t="str">
        <x:v>Online</x:v>
      </x:c>
      <x:c r="J28" s="35" t="str">
        <x:v>Kursseite aktiv / Kauf möglich</x:v>
      </x:c>
      <x:c r="K28" s="35" t="str">
        <x:v>https://www.udemy.com/course/generative-ai-strategy-for-business/</x:v>
      </x:c>
      <x:c r="L28" s="35" t="str">
        <x:v>Letzte Aktualisierung laut Seite: 10/2025; eher Prüfungs-/Wissensformat.</x:v>
      </x:c>
      <x:c r="M28" s="35" t="str">
        <x:v>30.06.2026</x:v>
      </x:c>
      <x:c r="N28" s="35" t="str">
        <x:v>Bestand aus Prüftabelle 30.06.2026</x:v>
      </x:c>
    </x:row>
    <x:row r="29">
      <x:c r="A29" s="35" t="str">
        <x:v>Technical &amp; AI Literacy</x:v>
      </x:c>
      <x:c r="B29" s="35" t="str">
        <x:v>Grundverständnis von Cloud &amp; Software-Plattformen</x:v>
      </x:c>
      <x:c r="C29" s="35" t="str">
        <x:v>Awareness für AI-Infrastruktur, Cloud &amp; Data Pipelines</x:v>
      </x:c>
      <x:c r="D29" s="35" t="str">
        <x:v>Erweitert</x:v>
      </x:c>
      <x:c r="E29" s="35" t="str">
        <x:v>Smartnet Academy</x:v>
      </x:c>
      <x:c r="F29" s="35" t="str">
        <x:v>AI Data Engineering Mastery</x:v>
      </x:c>
      <x:c r="G29" s="49" t="str">
        <x:v>Aktuell</x:v>
      </x:c>
      <x:c r="H29" s="35" t="str">
        <x:v>Jederzeit (on-demand)</x:v>
      </x:c>
      <x:c r="I29" s="35" t="str">
        <x:v>Online</x:v>
      </x:c>
      <x:c r="J29" s="35" t="str">
        <x:v>Kauf möglich</x:v>
      </x:c>
      <x:c r="K29" s="35" t="str">
        <x:v>https://smartnetacademy.com/courses/ai-data-engineering-mastery-build-scalable-smart-pipelines/</x:v>
      </x:c>
      <x:c r="L29" s="35" t="str">
        <x:v>Kurs wird auf der aktuellen offiziellen Smartnet-Kursübersicht angeboten.</x:v>
      </x:c>
      <x:c r="M29" s="35" t="str">
        <x:v>15.07.2026</x:v>
      </x:c>
      <x:c r="N29" s="35" t="str">
        <x:v>Bestand – am 15.07.2026 erneut bestätigt</x:v>
      </x:c>
    </x:row>
    <x:row r="30">
      <x:c r="A30" s="35" t="str">
        <x:v>Technical &amp; AI Literacy</x:v>
      </x:c>
      <x:c r="B30" s="35" t="str">
        <x:v>AI Literacy (was KI kann / nicht kann)</x:v>
      </x:c>
      <x:c r="C30" s="35" t="str">
        <x:v>Grundverständnis von ML, LLMs &amp; Generative AI</x:v>
      </x:c>
      <x:c r="D30" s="35" t="str">
        <x:v>Erweitert</x:v>
      </x:c>
      <x:c r="E30" s="35" t="str">
        <x:v>Coursera / DeepLearning.AI</x:v>
      </x:c>
      <x:c r="F30" s="35" t="str">
        <x:v>Generative AI for Everyone</x:v>
      </x:c>
      <x:c r="G30" s="49" t="str">
        <x:v>Aktuell</x:v>
      </x:c>
      <x:c r="H30" s="35" t="str">
        <x:v>Jederzeit (flexibler Selbstlernkurs)</x:v>
      </x:c>
      <x:c r="I30" s="35" t="str">
        <x:v>Online</x:v>
      </x:c>
      <x:c r="J30" s="35" t="str">
        <x:v>Einschreibung möglich</x:v>
      </x:c>
      <x:c r="K30" s="35" t="str">
        <x:v>https://www.coursera.org/learn/generative-ai-for-everyone</x:v>
      </x:c>
      <x:c r="L30" s="35" t="str">
        <x:v>Aktiver Grundlagenkurs für Führungskräfte und Nicht-Techniker.</x:v>
      </x:c>
      <x:c r="M30" s="35" t="str">
        <x:v>15.07.2026</x:v>
      </x:c>
      <x:c r="N30" s="49" t="str">
        <x:v>Ersatz für nicht mehr vorhandenen Kurs</x:v>
      </x:c>
    </x:row>
    <x:row r="31">
      <x:c r="A31" s="35" t="str">
        <x:v>Technical &amp; AI Literacy</x:v>
      </x:c>
      <x:c r="B31" s="35" t="str">
        <x:v>Unterschied: Automatisierung vs. KI vs. Generative KI</x:v>
      </x:c>
      <x:c r="C31" s="35" t="str">
        <x:v>Kenntnis der Möglichkeiten und Grenzen von AI</x:v>
      </x:c>
      <x:c r="D31" s="35" t="str">
        <x:v>Erweitert</x:v>
      </x:c>
      <x:c r="E31" s="35" t="str">
        <x:v>Microsoft Learn</x:v>
      </x:c>
      <x:c r="F31" s="35" t="str">
        <x:v>Drive AI transformation in your organization (AB-731T00)</x:v>
      </x:c>
      <x:c r="G31" s="49" t="str">
        <x:v>Aktuell</x:v>
      </x:c>
      <x:c r="H31" s="35" t="str">
        <x:v>Termine über Microsoft-Trainingspartner</x:v>
      </x:c>
      <x:c r="I31" s="35" t="str">
        <x:v>Instructor-led / online oder vor Ort</x:v>
      </x:c>
      <x:c r="J31" s="35" t="str">
        <x:v>Aktuelle Kursseite vorhanden</x:v>
      </x:c>
      <x:c r="K31" s="35" t="str">
        <x:v>https://learn.microsoft.com/en-us/training/courses/ab-731t00</x:v>
      </x:c>
      <x:c r="L31" s="35" t="str">
        <x:v>Aktueller Microsoft-Kurs für Business Leader zur Planung und Skalierung von AI-Initiativen.</x:v>
      </x:c>
      <x:c r="M31" s="35" t="str">
        <x:v>15.07.2026</x:v>
      </x:c>
      <x:c r="N31" s="49" t="str">
        <x:v>Ersatz für nicht mehr vorhandenen Kurs</x:v>
      </x:c>
    </x:row>
    <x:row r="32">
      <x:c r="A32" s="35" t="str">
        <x:v>Technical &amp; AI Literacy</x:v>
      </x:c>
      <x:c r="B32" s="35" t="str">
        <x:v>Technologieverständnis auf Entscheidungsebene</x:v>
      </x:c>
      <x:c r="C32" s="35" t="str">
        <x:v>Grundverständnis von Generative AI, Modellen und Einsatzgrenzen</x:v>
      </x:c>
      <x:c r="D32" s="35" t="str">
        <x:v>Neu</x:v>
      </x:c>
      <x:c r="E32" s="35" t="str">
        <x:v>Google Cloud Skills Boost</x:v>
      </x:c>
      <x:c r="F32" s="35" t="str">
        <x:v>Introduction to Generative AI</x:v>
      </x:c>
      <x:c r="G32" s="49" t="str">
        <x:v>Aktuell</x:v>
      </x:c>
      <x:c r="H32" s="35" t="str">
        <x:v>Jederzeit (selbstgesteuert)</x:v>
      </x:c>
      <x:c r="I32" s="35" t="str">
        <x:v>Online</x:v>
      </x:c>
      <x:c r="J32" s="35" t="str">
        <x:v>Lernmodul aktiv</x:v>
      </x:c>
      <x:c r="K32" s="35" t="str">
        <x:v>https://www.cloudskillsboost.google/course_templates/536</x:v>
      </x:c>
      <x:c r="L32" s="35" t="str">
        <x:v>Kompakter Einstieg in Grundlagen und Anwendungen generativer AI.</x:v>
      </x:c>
      <x:c r="M32" s="35" t="str">
        <x:v>15.07.2026</x:v>
      </x:c>
      <x:c r="N32" s="67" t="str">
        <x:v>Neu recherchiert</x:v>
      </x:c>
    </x:row>
    <x:row r="33">
      <x:c r="A33" s="35" t="str">
        <x:v>Technical &amp; AI Literacy</x:v>
      </x:c>
      <x:c r="B33" s="35" t="str">
        <x:v>Technologieverständnis auf Entscheidungsebene</x:v>
      </x:c>
      <x:c r="C33" s="35" t="str">
        <x:v>Generative AI in Business-Kontexten sicher einordnen</x:v>
      </x:c>
      <x:c r="D33" s="35" t="str">
        <x:v>Neu</x:v>
      </x:c>
      <x:c r="E33" s="35" t="str">
        <x:v>AWS Training</x:v>
      </x:c>
      <x:c r="F33" s="35" t="str">
        <x:v>Generative AI for Executives</x:v>
      </x:c>
      <x:c r="G33" s="49" t="str">
        <x:v>Aktuell</x:v>
      </x:c>
      <x:c r="H33" s="35" t="str">
        <x:v>Termine / Trainingspartnerabhängig</x:v>
      </x:c>
      <x:c r="I33" s="35" t="str">
        <x:v>Instructor-led / virtuell oder vor Ort</x:v>
      </x:c>
      <x:c r="J33" s="35" t="str">
        <x:v>Aktuelle Kursseite</x:v>
      </x:c>
      <x:c r="K33" s="35" t="str">
        <x:v>https://aws.amazon.com/training/classroom/generative-ai-for-executives/</x:v>
      </x:c>
      <x:c r="L33" s="35" t="str">
        <x:v>Grundbegriffe, Business Value und verantwortungsvolle Einführung.</x:v>
      </x:c>
      <x:c r="M33" s="35" t="str">
        <x:v>15.07.2026</x:v>
      </x:c>
      <x:c r="N33" s="67" t="str">
        <x:v>Neu recherchiert</x:v>
      </x:c>
    </x:row>
    <x:row r="34">
      <x:c r="A34" s="35" t="str">
        <x:v>Technical &amp; AI Literacy</x:v>
      </x:c>
      <x:c r="B34" s="35" t="str">
        <x:v>Technologieverständnis auf Entscheidungsebene</x:v>
      </x:c>
      <x:c r="C34" s="35" t="str">
        <x:v>AI-Projekte planen, strategisch einordnen und verantwortungsvoll skalieren</x:v>
      </x:c>
      <x:c r="D34" s="35" t="str">
        <x:v>Neu</x:v>
      </x:c>
      <x:c r="E34" s="35" t="str">
        <x:v>Microsoft Learn</x:v>
      </x:c>
      <x:c r="F34" s="35" t="str">
        <x:v>Transform your business with Microsoft AI</x:v>
      </x:c>
      <x:c r="G34" s="49" t="str">
        <x:v>Aktuell</x:v>
      </x:c>
      <x:c r="H34" s="35" t="str">
        <x:v>Jederzeit (selbstgesteuert)</x:v>
      </x:c>
      <x:c r="I34" s="35" t="str">
        <x:v>Online</x:v>
      </x:c>
      <x:c r="J34" s="35" t="str">
        <x:v>Kostenloser Lernpfad</x:v>
      </x:c>
      <x:c r="K34" s="35" t="str">
        <x:v>https://learn.microsoft.com/en-us/training/paths/transform-your-business-with-microsoft-ai/</x:v>
      </x:c>
      <x:c r="L34" s="35" t="str">
        <x:v>Lernpfad speziell für Business Leader und Entscheider.</x:v>
      </x:c>
      <x:c r="M34" s="35" t="str">
        <x:v>15.07.2026</x:v>
      </x:c>
      <x:c r="N34" s="67" t="str">
        <x:v>Neu recherchiert</x:v>
      </x:c>
    </x:row>
    <x:row r="35">
      <x:c r="A35" s="59" t="str">
        <x:v>Governance Skills</x:v>
      </x:c>
      <x:c r="B35" s="52" t="str">
        <x:v>Einrichtung von Governance- und Oversight-Strukturen</x:v>
      </x:c>
      <x:c r="C35" s="52" t="str">
        <x:v>Integration von AI Governance in Unternehmensstrategie</x:v>
      </x:c>
      <x:c r="D35" s="52" t="str">
        <x:v>Erweitert</x:v>
      </x:c>
      <x:c r="E35" s="52" t="str">
        <x:v>Coursera / Wharton</x:v>
      </x:c>
      <x:c r="F35" s="52" t="str">
        <x:v>AI Strategy and Governance</x:v>
      </x:c>
      <x:c r="G35" s="53" t="str">
        <x:v>Aktuell</x:v>
      </x:c>
      <x:c r="H35" s="52" t="str">
        <x:v>30.06.2026 (flexibel)</x:v>
      </x:c>
      <x:c r="I35" s="52" t="str">
        <x:v>Online</x:v>
      </x:c>
      <x:c r="J35" s="52" t="str">
        <x:v>Einschreibung möglich</x:v>
      </x:c>
      <x:c r="K35" s="52" t="str">
        <x:v>https://www.coursera.org/learn/wharton-ai-strategy-governance</x:v>
      </x:c>
      <x:c r="L35" s="52" t="str">
        <x:v>Kursseite aktiv; ca. 1 Woche, flexibler Zeitplan.</x:v>
      </x:c>
      <x:c r="M35" s="52" t="str">
        <x:v>30.06.2026</x:v>
      </x:c>
      <x:c r="N35" s="54" t="str">
        <x:v>Bestand aus Prüftabelle 30.06.2026</x:v>
      </x:c>
    </x:row>
    <x:row r="36">
      <x:c r="A36" s="35" t="str">
        <x:v>Governance Skills</x:v>
      </x:c>
      <x:c r="B36" s="35" t="str">
        <x:v>Einrichtung von Governance- und Oversight-Strukturen</x:v>
      </x:c>
      <x:c r="C36" s="35" t="str">
        <x:v>Integration von AI Governance in Unternehmensstrategie</x:v>
      </x:c>
      <x:c r="D36" s="35" t="str">
        <x:v>Erweitert</x:v>
      </x:c>
      <x:c r="E36" s="35" t="str">
        <x:v>IHK Kompetenz.plus</x:v>
      </x:c>
      <x:c r="F36" s="35" t="str">
        <x:v>AI Compliance Manager (IHK)</x:v>
      </x:c>
      <x:c r="G36" s="49" t="str">
        <x:v>Aktuell</x:v>
      </x:c>
      <x:c r="H36" s="35" t="str">
        <x:v>04.09.2026</x:v>
      </x:c>
      <x:c r="I36" s="35" t="str">
        <x:v>Online – virtuell</x:v>
      </x:c>
      <x:c r="J36" s="35" t="str">
        <x:v>Termine sichtbar</x:v>
      </x:c>
      <x:c r="K36" s="35" t="str">
        <x:v>https://ihk-kompetenz.plus/weitere-lehrgaenge/ai-compliance-manager-ihk-ma/</x:v>
      </x:c>
      <x:c r="L36" s="35" t="str">
        <x:v>Weiterer sichtbarer Start: 02.11.2026.</x:v>
      </x:c>
      <x:c r="M36" s="35" t="str">
        <x:v>30.06.2026</x:v>
      </x:c>
      <x:c r="N36" s="35" t="str">
        <x:v>Bestand aus Prüftabelle 30.06.2026</x:v>
      </x:c>
    </x:row>
    <x:row r="37">
      <x:c r="A37" s="35" t="str">
        <x:v>Governance Skills</x:v>
      </x:c>
      <x:c r="B37" s="35" t="str">
        <x:v>Einrichtung von Governance- und Oversight-Strukturen</x:v>
      </x:c>
      <x:c r="C37" s="35" t="str">
        <x:v>Integration von AI Governance in Unternehmensstrategie</x:v>
      </x:c>
      <x:c r="D37" s="35" t="str">
        <x:v>Erweitert</x:v>
      </x:c>
      <x:c r="E37" s="35" t="str">
        <x:v>Udemy</x:v>
      </x:c>
      <x:c r="F37" s="35" t="str">
        <x:v>AI Governance &amp; Management Systems</x:v>
      </x:c>
      <x:c r="G37" s="49" t="str">
        <x:v>Aktuell</x:v>
      </x:c>
      <x:c r="H37" s="35" t="str">
        <x:v>Jederzeit (on-demand)</x:v>
      </x:c>
      <x:c r="I37" s="35" t="str">
        <x:v>Online</x:v>
      </x:c>
      <x:c r="J37" s="35" t="str">
        <x:v>Kursseite aktiv / Kauf möglich</x:v>
      </x:c>
      <x:c r="K37" s="35" t="str">
        <x:v>https://www.udemy.com/course/ai-governance/</x:v>
      </x:c>
      <x:c r="L37" s="35" t="str">
        <x:v>Letzte Aktualisierung laut Seite: 02/2025; für Compliance-Inhalte Aktualität prüfen.</x:v>
      </x:c>
      <x:c r="M37" s="35" t="str">
        <x:v>30.06.2026</x:v>
      </x:c>
      <x:c r="N37" s="35" t="str">
        <x:v>Bestand aus Prüftabelle 30.06.2026</x:v>
      </x:c>
    </x:row>
    <x:row r="38">
      <x:c r="A38" s="35" t="str">
        <x:v>Governance Skills</x:v>
      </x:c>
      <x:c r="B38" s="35" t="str">
        <x:v>Einrichtung von Governance- und Oversight-Strukturen</x:v>
      </x:c>
      <x:c r="C38" s="35" t="str">
        <x:v>Integration von AI Governance in Unternehmensstrategie</x:v>
      </x:c>
      <x:c r="D38" s="35" t="str">
        <x:v>Erweitert</x:v>
      </x:c>
      <x:c r="E38" s="35" t="str">
        <x:v>World AI Institute</x:v>
      </x:c>
      <x:c r="F38" s="35" t="str">
        <x:v>AI Governance</x:v>
      </x:c>
      <x:c r="G38" s="63" t="str">
        <x:v>Aktiv – Termin offen</x:v>
      </x:c>
      <x:c r="H38" s="35" t="str">
        <x:v>Auf Anfrage</x:v>
      </x:c>
      <x:c r="I38" s="35" t="str">
        <x:v>Online oder vor Ort</x:v>
      </x:c>
      <x:c r="J38" s="35" t="str">
        <x:v>„Enroll now“ / Anfrage</x:v>
      </x:c>
      <x:c r="K38" s="35" t="str">
        <x:v>https://www.worldaiinstitute.com/courses/ai-governance</x:v>
      </x:c>
      <x:c r="L38" s="35" t="str">
        <x:v>Umfang 6–8 Wochen; kein konkreter Start auf der Seite sichtbar.</x:v>
      </x:c>
      <x:c r="M38" s="35" t="str">
        <x:v>30.06.2026</x:v>
      </x:c>
      <x:c r="N38" s="35" t="str">
        <x:v>Bestand aus Prüftabelle 30.06.2026</x:v>
      </x:c>
    </x:row>
    <x:row r="39">
      <x:c r="A39" s="35" t="str">
        <x:v>Governance Skills</x:v>
      </x:c>
      <x:c r="B39" s="35" t="str">
        <x:v>Board-Level Kontrolle &amp; Eskalation</x:v>
      </x:c>
      <x:c r="C39" s="35" t="str">
        <x:v>Board-Reporting zu AI-Risiken und Chancen</x:v>
      </x:c>
      <x:c r="D39" s="35" t="str">
        <x:v>Erweitert</x:v>
      </x:c>
      <x:c r="E39" s="35" t="str">
        <x:v>AISDI</x:v>
      </x:c>
      <x:c r="F39" s="35" t="str">
        <x:v>AI for Board Members &amp; Corporate Governance</x:v>
      </x:c>
      <x:c r="G39" s="63" t="str">
        <x:v>Aktiv – Termin offen</x:v>
      </x:c>
      <x:c r="H39" s="35" t="str">
        <x:v>Auf Anfrage</x:v>
      </x:c>
      <x:c r="I39" s="35" t="str">
        <x:v>Nicht veröffentlicht</x:v>
      </x:c>
      <x:c r="J39" s="35" t="str">
        <x:v>„Enquire Now“</x:v>
      </x:c>
      <x:c r="K39" s="35" t="str">
        <x:v>https://aisdi.ai/course/ai-for-board-members-corporate-governance/</x:v>
      </x:c>
      <x:c r="L39" s="35" t="str">
        <x:v>Dauer 10–12 Stunden; kein konkreter Start/Format sichtbar.</x:v>
      </x:c>
      <x:c r="M39" s="35" t="str">
        <x:v>30.06.2026</x:v>
      </x:c>
      <x:c r="N39" s="35" t="str">
        <x:v>Bestand aus Prüftabelle 30.06.2026</x:v>
      </x:c>
    </x:row>
    <x:row r="40">
      <x:c r="A40" s="35" t="str">
        <x:v>Governance Skills</x:v>
      </x:c>
      <x:c r="B40" s="35" t="str">
        <x:v>Board-Level Kontrolle &amp; Eskalation</x:v>
      </x:c>
      <x:c r="C40" s="35" t="str">
        <x:v>Board-Reporting zu AI-Risiken und Chancen</x:v>
      </x:c>
      <x:c r="D40" s="35" t="str">
        <x:v>Erweitert</x:v>
      </x:c>
      <x:c r="E40" s="35" t="str">
        <x:v>Haufe Akademie</x:v>
      </x:c>
      <x:c r="F40" s="35" t="str">
        <x:v>AI-Governance: Chancen nutzen, Risiken minimieren</x:v>
      </x:c>
      <x:c r="G40" s="49" t="str">
        <x:v>Aktuell</x:v>
      </x:c>
      <x:c r="H40" s="35" t="str">
        <x:v>11.08.2026</x:v>
      </x:c>
      <x:c r="I40" s="35" t="str">
        <x:v>Online – LiveOnline</x:v>
      </x:c>
      <x:c r="J40" s="35" t="str">
        <x:v>Mehrere Termine sichtbar</x:v>
      </x:c>
      <x:c r="K40" s="35" t="str">
        <x:v>https://www.haufe-akademie.de/41962</x:v>
      </x:c>
      <x:c r="L40" s="35" t="str">
        <x:v>Weitere sichtbare Termine: 30.09.2026 und 02.03.2027; Inhouse auch möglich.</x:v>
      </x:c>
      <x:c r="M40" s="35" t="str">
        <x:v>30.06.2026</x:v>
      </x:c>
      <x:c r="N40" s="35" t="str">
        <x:v>Bestand aus Prüftabelle 30.06.2026</x:v>
      </x:c>
    </x:row>
    <x:row r="41">
      <x:c r="A41" s="35" t="str">
        <x:v>Governance Skills</x:v>
      </x:c>
      <x:c r="B41" s="35" t="str">
        <x:v>Board-Level Kontrolle &amp; Eskalation</x:v>
      </x:c>
      <x:c r="C41" s="35" t="str">
        <x:v>Board-Reporting zu AI-Risiken und Chancen</x:v>
      </x:c>
      <x:c r="D41" s="35" t="str">
        <x:v>Erweitert</x:v>
      </x:c>
      <x:c r="E41" s="35" t="str">
        <x:v>MacSkills Development</x:v>
      </x:c>
      <x:c r="F41" s="35" t="str">
        <x:v>Legal Strategy for Corporate AI Governance</x:v>
      </x:c>
      <x:c r="G41" s="63" t="str">
        <x:v>Aktiv – Termin offen</x:v>
      </x:c>
      <x:c r="H41" s="35" t="str">
        <x:v>Auf Anfrage / Zeitplan als PDF</x:v>
      </x:c>
      <x:c r="I41" s="35" t="str">
        <x:v>Nicht veröffentlicht</x:v>
      </x:c>
      <x:c r="J41" s="35" t="str">
        <x:v>Anfrage / Angebot</x:v>
      </x:c>
      <x:c r="K41" s="35" t="str">
        <x:v>https://macskillsdevelopment.com/ad/course/legal-strategy-for-corporate-ai-governance-board-executive-oversight-accountability-compliance-training-course</x:v>
      </x:c>
      <x:c r="L41" s="35" t="str">
        <x:v>5 Tage; öffentlich kein konkretes Kursdatum sichtbar.</x:v>
      </x:c>
      <x:c r="M41" s="35" t="str">
        <x:v>30.06.2026</x:v>
      </x:c>
      <x:c r="N41" s="35" t="str">
        <x:v>Bestand aus Prüftabelle 30.06.2026</x:v>
      </x:c>
    </x:row>
    <x:row r="42">
      <x:c r="A42" s="35" t="str">
        <x:v>Governance Skills</x:v>
      </x:c>
      <x:c r="B42" s="35" t="str">
        <x:v>Board-Level Kontrolle &amp; Eskalation</x:v>
      </x:c>
      <x:c r="C42" s="35" t="str">
        <x:v>Board-Reporting zu AI-Risiken und Chancen</x:v>
      </x:c>
      <x:c r="D42" s="35" t="str">
        <x:v>Erweitert</x:v>
      </x:c>
      <x:c r="E42" s="35" t="str">
        <x:v>Global Board Institute</x:v>
      </x:c>
      <x:c r="F42" s="35" t="str">
        <x:v>AI Governance Professional Certificate</x:v>
      </x:c>
      <x:c r="G42" s="49" t="str">
        <x:v>Aktuell</x:v>
      </x:c>
      <x:c r="H42" s="35" t="str">
        <x:v>Jederzeit (selbstgesteuert)</x:v>
      </x:c>
      <x:c r="I42" s="35" t="str">
        <x:v>Online</x:v>
      </x:c>
      <x:c r="J42" s="35" t="str">
        <x:v>Kauf möglich</x:v>
      </x:c>
      <x:c r="K42" s="35" t="str">
        <x:v>https://www.globalboardinstitute.com/fast-track-series/ai-governance</x:v>
      </x:c>
      <x:c r="L42" s="35" t="str">
        <x:v>6–8 Stunden, vollständig online und self-paced.</x:v>
      </x:c>
      <x:c r="M42" s="35" t="str">
        <x:v>30.06.2026</x:v>
      </x:c>
      <x:c r="N42" s="35" t="str">
        <x:v>Bestand aus Prüftabelle 30.06.2026</x:v>
      </x:c>
    </x:row>
    <x:row r="43">
      <x:c r="A43" s="35" t="str">
        <x:v>Governance Skills</x:v>
      </x:c>
      <x:c r="B43" s="35" t="str">
        <x:v>Board-Level Kontrolle &amp; Eskalation</x:v>
      </x:c>
      <x:c r="C43" s="35" t="str">
        <x:v>AI-Strategie, Risiken und Ethik auf Board-Ebene überwachen</x:v>
      </x:c>
      <x:c r="D43" s="35" t="str">
        <x:v>Neu</x:v>
      </x:c>
      <x:c r="E43" s="35" t="str">
        <x:v>INSEAD</x:v>
      </x:c>
      <x:c r="F43" s="35" t="str">
        <x:v>AI for Boards</x:v>
      </x:c>
      <x:c r="G43" s="49" t="str">
        <x:v>Aktuell</x:v>
      </x:c>
      <x:c r="H43" s="35" t="str">
        <x:v>01.12.2026</x:v>
      </x:c>
      <x:c r="I43" s="35" t="str">
        <x:v>Präsenz – Fontainebleau, 4 Tage</x:v>
      </x:c>
      <x:c r="J43" s="35" t="str">
        <x:v>Bewerbung / Anmeldung möglich</x:v>
      </x:c>
      <x:c r="K43" s="35" t="str">
        <x:v>https://www.insead.edu/executive-education/corporate-governance/ai-boards</x:v>
      </x:c>
      <x:c r="L43" s="35" t="str">
        <x:v>Executive-Programm für Board Oversight, Risiko und verantwortungsvolle AI.</x:v>
      </x:c>
      <x:c r="M43" s="35" t="str">
        <x:v>15.07.2026</x:v>
      </x:c>
      <x:c r="N43" s="67" t="str">
        <x:v>Neu recherchiert</x:v>
      </x:c>
    </x:row>
    <x:row r="44">
      <x:c r="A44" s="35" t="str">
        <x:v>Governance Skills</x:v>
      </x:c>
      <x:c r="B44" s="35" t="str">
        <x:v>Gesamtverantwortung für Unternehmensrisiken</x:v>
      </x:c>
      <x:c r="C44" s="35" t="str">
        <x:v>Professionelle AI-Governance-Strukturen aufbauen</x:v>
      </x:c>
      <x:c r="D44" s="35" t="str">
        <x:v>Neu</x:v>
      </x:c>
      <x:c r="E44" s="35" t="str">
        <x:v>IAPP</x:v>
      </x:c>
      <x:c r="F44" s="35" t="str">
        <x:v>Artificial Intelligence Governance Professional (AIGP) Training</x:v>
      </x:c>
      <x:c r="G44" s="49" t="str">
        <x:v>Aktuell</x:v>
      </x:c>
      <x:c r="H44" s="35" t="str">
        <x:v>Mehrere Termine und Formate</x:v>
      </x:c>
      <x:c r="I44" s="35" t="str">
        <x:v>Online, live oder Präsenz</x:v>
      </x:c>
      <x:c r="J44" s="35" t="str">
        <x:v>Training und Prüfungsvorbereitung verfügbar</x:v>
      </x:c>
      <x:c r="K44" s="35" t="str">
        <x:v>https://iapp.org/train/aigp-training</x:v>
      </x:c>
      <x:c r="L44" s="35" t="str">
        <x:v>International anerkanntes Training zu AI-Governance und Risikomanagement.</x:v>
      </x:c>
      <x:c r="M44" s="35" t="str">
        <x:v>15.07.2026</x:v>
      </x:c>
      <x:c r="N44" s="67" t="str">
        <x:v>Neu recherchiert</x:v>
      </x:c>
    </x:row>
    <x:row r="45">
      <x:c r="A45" s="35" t="str">
        <x:v>Governance Skills</x:v>
      </x:c>
      <x:c r="B45" s="35" t="str">
        <x:v>Verantwortung für Reputation &amp; Haftung</x:v>
      </x:c>
      <x:c r="C45" s="35" t="str">
        <x:v>Responsible-AI-Prinzipien in Richtlinien und Kontrollprozesse übersetzen</x:v>
      </x:c>
      <x:c r="D45" s="35" t="str">
        <x:v>Neu</x:v>
      </x:c>
      <x:c r="E45" s="35" t="str">
        <x:v>Microsoft Learn</x:v>
      </x:c>
      <x:c r="F45" s="35" t="str">
        <x:v>Embrace responsible AI principles and practices</x:v>
      </x:c>
      <x:c r="G45" s="49" t="str">
        <x:v>Aktuell</x:v>
      </x:c>
      <x:c r="H45" s="35" t="str">
        <x:v>Jederzeit (selbstgesteuert)</x:v>
      </x:c>
      <x:c r="I45" s="35" t="str">
        <x:v>Online</x:v>
      </x:c>
      <x:c r="J45" s="35" t="str">
        <x:v>Kostenloses Lernmodul</x:v>
      </x:c>
      <x:c r="K45" s="35" t="str">
        <x:v>https://learn.microsoft.com/en-us/training/modules/embrace-responsible-ai-principles-practices/</x:v>
      </x:c>
      <x:c r="L45" s="35" t="str">
        <x:v>Praxisorientierter Einstieg in Responsible-AI-Grundsätze.</x:v>
      </x:c>
      <x:c r="M45" s="35" t="str">
        <x:v>15.07.2026</x:v>
      </x:c>
      <x:c r="N45" s="67" t="str">
        <x:v>Neu recherchiert</x:v>
      </x:c>
    </x:row>
    <x:row r="46">
      <x:c r="A46" s="59" t="str">
        <x:v>Data &amp; Analytics Skills</x:v>
      </x:c>
      <x:c r="B46" s="52" t="str">
        <x:v>Nutzung von KPIs &amp; Management-Dashboards</x:v>
      </x:c>
      <x:c r="C46" s="52" t="str">
        <x:v>Nutzung von Dashboards &amp; KPIs, um AI-Wertbeiträge zu steuern</x:v>
      </x:c>
      <x:c r="D46" s="52" t="str">
        <x:v>Erweitert</x:v>
      </x:c>
      <x:c r="E46" s="52" t="str">
        <x:v>Udemy</x:v>
      </x:c>
      <x:c r="F46" s="52" t="str">
        <x:v>Learn Power BI Fundamentals</x:v>
      </x:c>
      <x:c r="G46" s="53" t="str">
        <x:v>Aktuell</x:v>
      </x:c>
      <x:c r="H46" s="52" t="str">
        <x:v>Jederzeit (on-demand)</x:v>
      </x:c>
      <x:c r="I46" s="52" t="str">
        <x:v>Online</x:v>
      </x:c>
      <x:c r="J46" s="52" t="str">
        <x:v>Kursseite aktiv / Kauf möglich</x:v>
      </x:c>
      <x:c r="K46" s="52" t="str">
        <x:v>https://www.udemy.com/course/learn-power-bi-fundamentals/</x:v>
      </x:c>
      <x:c r="L46" s="52" t="str">
        <x:v>Letzte Aktualisierung laut Seite: 05/2026.</x:v>
      </x:c>
      <x:c r="M46" s="52" t="str">
        <x:v>30.06.2026</x:v>
      </x:c>
      <x:c r="N46" s="54" t="str">
        <x:v>Bestand aus Prüftabelle 30.06.2026</x:v>
      </x:c>
    </x:row>
    <x:row r="47">
      <x:c r="A47" s="35" t="str">
        <x:v>Data &amp; Analytics Skills</x:v>
      </x:c>
      <x:c r="B47" s="35" t="str">
        <x:v>Nutzung von KPIs &amp; Management-Dashboards</x:v>
      </x:c>
      <x:c r="C47" s="35" t="str">
        <x:v>Nutzung von Dashboards &amp; KPIs, um AI-Wertbeiträge zu steuern</x:v>
      </x:c>
      <x:c r="D47" s="35" t="str">
        <x:v>Erweitert</x:v>
      </x:c>
      <x:c r="E47" s="35" t="str">
        <x:v>Pideya Learning Academy</x:v>
      </x:c>
      <x:c r="F47" s="35" t="str">
        <x:v>AI for Strategic Decision-Making and KPIs</x:v>
      </x:c>
      <x:c r="G47" s="63" t="str">
        <x:v>Aktiv – Termin offen</x:v>
      </x:c>
      <x:c r="H47" s="35" t="str">
        <x:v>Nicht öffentlich veröffentlicht / auf Anfrage</x:v>
      </x:c>
      <x:c r="I47" s="35" t="str">
        <x:v>Online, vor Ort oder Inhouse</x:v>
      </x:c>
      <x:c r="J47" s="35" t="str">
        <x:v>Anfrage / Registrierung</x:v>
      </x:c>
      <x:c r="K47" s="35" t="str">
        <x:v>https://pideyalearningacademy.com/course/ai-for-strategic-decision-making-and-kpis/</x:v>
      </x:c>
      <x:c r="L47" s="35" t="str">
        <x:v>Kursseite aktiv; keine konkrete künftige Kurszeit sichtbar.</x:v>
      </x:c>
      <x:c r="M47" s="35" t="str">
        <x:v>30.06.2026</x:v>
      </x:c>
      <x:c r="N47" s="35" t="str">
        <x:v>Bestand aus Prüftabelle 30.06.2026</x:v>
      </x:c>
    </x:row>
    <x:row r="48">
      <x:c r="A48" s="35" t="str">
        <x:v>Data &amp; Analytics Skills</x:v>
      </x:c>
      <x:c r="B48" s="35" t="str">
        <x:v>Nutzung von KPIs &amp; Management-Dashboards</x:v>
      </x:c>
      <x:c r="C48" s="35" t="str">
        <x:v>Nutzung von Dashboards &amp; KPIs, um AI-Wertbeiträge zu steuern</x:v>
      </x:c>
      <x:c r="D48" s="35" t="str">
        <x:v>Erweitert</x:v>
      </x:c>
      <x:c r="E48" s="35" t="str">
        <x:v>Coursera</x:v>
      </x:c>
      <x:c r="F48" s="35" t="str">
        <x:v>Build Interactive Dashboards for Meaningful Insights</x:v>
      </x:c>
      <x:c r="G48" s="49" t="str">
        <x:v>Aktuell</x:v>
      </x:c>
      <x:c r="H48" s="35" t="str">
        <x:v>30.06.2026 (flexibel)</x:v>
      </x:c>
      <x:c r="I48" s="35" t="str">
        <x:v>Online</x:v>
      </x:c>
      <x:c r="J48" s="35" t="str">
        <x:v>Einschreibung möglich</x:v>
      </x:c>
      <x:c r="K48" s="35" t="str">
        <x:v>https://www.coursera.org/learn/build-interactive-dashboards-for-meaningful-insights</x:v>
      </x:c>
      <x:c r="L48" s="35" t="str">
        <x:v>Kursseite aktiv; flexibler Selbstlernkurs.</x:v>
      </x:c>
      <x:c r="M48" s="35" t="str">
        <x:v>30.06.2026</x:v>
      </x:c>
      <x:c r="N48" s="35" t="str">
        <x:v>Bestand aus Prüftabelle 30.06.2026</x:v>
      </x:c>
    </x:row>
    <x:row r="49">
      <x:c r="A49" s="35" t="str">
        <x:v>Data &amp; Analytics Skills</x:v>
      </x:c>
      <x:c r="B49" s="35" t="str">
        <x:v>Verständnis von Reporting &amp; Forecasts</x:v>
      </x:c>
      <x:c r="C49" s="35" t="str">
        <x:v>Verständnis von Echtzeit-Daten, Predictive Analytics &amp; AI Insights</x:v>
      </x:c>
      <x:c r="D49" s="35" t="str">
        <x:v>Erweitert</x:v>
      </x:c>
      <x:c r="E49" s="35" t="str">
        <x:v>Udemy</x:v>
      </x:c>
      <x:c r="F49" s="35" t="str">
        <x:v>Business Intelligence (BI) and Predictive Analytics 101</x:v>
      </x:c>
      <x:c r="G49" s="49" t="str">
        <x:v>Aktuell</x:v>
      </x:c>
      <x:c r="H49" s="35" t="str">
        <x:v>Jederzeit (on-demand)</x:v>
      </x:c>
      <x:c r="I49" s="35" t="str">
        <x:v>Online</x:v>
      </x:c>
      <x:c r="J49" s="35" t="str">
        <x:v>Kursseite aktiv / Kauf möglich</x:v>
      </x:c>
      <x:c r="K49" s="35" t="str">
        <x:v>https://www.udemy.com/course/business-intelligence-bi-and-predictive-analytics-101/</x:v>
      </x:c>
      <x:c r="L49" s="35" t="str">
        <x:v>Letzte Aktualisierung laut Seite: 06/2025.</x:v>
      </x:c>
      <x:c r="M49" s="35" t="str">
        <x:v>30.06.2026</x:v>
      </x:c>
      <x:c r="N49" s="35" t="str">
        <x:v>Bestand aus Prüftabelle 30.06.2026</x:v>
      </x:c>
    </x:row>
    <x:row r="50">
      <x:c r="A50" s="35" t="str">
        <x:v>Data &amp; Analytics Skills</x:v>
      </x:c>
      <x:c r="B50" s="35" t="str">
        <x:v>Verständnis von Reporting &amp; Forecasts</x:v>
      </x:c>
      <x:c r="C50" s="35" t="str">
        <x:v>Verständnis von Echtzeit-Daten, Predictive Analytics &amp; AI Insights</x:v>
      </x:c>
      <x:c r="D50" s="35" t="str">
        <x:v>Erweitert</x:v>
      </x:c>
      <x:c r="E50" s="35" t="str">
        <x:v>Udemy</x:v>
      </x:c>
      <x:c r="F50" s="35" t="str">
        <x:v>GenAI for Data Analysis / AI Data Analytics for Executives</x:v>
      </x:c>
      <x:c r="G50" s="49" t="str">
        <x:v>Aktuell</x:v>
      </x:c>
      <x:c r="H50" s="35" t="str">
        <x:v>Jederzeit (on-demand)</x:v>
      </x:c>
      <x:c r="I50" s="35" t="str">
        <x:v>Online</x:v>
      </x:c>
      <x:c r="J50" s="35" t="str">
        <x:v>Kursseite aktiv / Kauf möglich</x:v>
      </x:c>
      <x:c r="K50" s="35" t="str">
        <x:v>https://www.udemy.com/course/genai-for-data-analysis-ai-data-analytics-for-executives/</x:v>
      </x:c>
      <x:c r="L50" s="35" t="str">
        <x:v>Letzte Aktualisierung laut Seite: 06/2025.</x:v>
      </x:c>
      <x:c r="M50" s="35" t="str">
        <x:v>30.06.2026</x:v>
      </x:c>
      <x:c r="N50" s="35" t="str">
        <x:v>Bestand aus Prüftabelle 30.06.2026</x:v>
      </x:c>
    </x:row>
    <x:row r="51">
      <x:c r="A51" s="35" t="str">
        <x:v>Data &amp; Analytics Skills</x:v>
      </x:c>
      <x:c r="B51" s="35" t="str">
        <x:v>Verständnis von Reporting &amp; Forecasts</x:v>
      </x:c>
      <x:c r="C51" s="35" t="str">
        <x:v>Verständnis von Echtzeit-Daten, Predictive Analytics &amp; AI Insights</x:v>
      </x:c>
      <x:c r="D51" s="35" t="str">
        <x:v>Erweitert</x:v>
      </x:c>
      <x:c r="E51" s="35" t="str">
        <x:v>Pideya Learning Academy</x:v>
      </x:c>
      <x:c r="F51" s="35" t="str">
        <x:v>Predictive Project Health Dashboards with AI Tools</x:v>
      </x:c>
      <x:c r="G51" s="63" t="str">
        <x:v>Aktiv – Termin offen</x:v>
      </x:c>
      <x:c r="H51" s="35" t="str">
        <x:v>Nicht öffentlich veröffentlicht / auf Anfrage</x:v>
      </x:c>
      <x:c r="I51" s="35" t="str">
        <x:v>Online, vor Ort oder Inhouse</x:v>
      </x:c>
      <x:c r="J51" s="35" t="str">
        <x:v>Anfrage / Registrierung</x:v>
      </x:c>
      <x:c r="K51" s="35" t="str">
        <x:v>https://pideyalearningacademy.com/course/predictive-project-health-dashboards-with-ai-tools/</x:v>
      </x:c>
      <x:c r="L51" s="35" t="str">
        <x:v>Kursseite aktiv; keine konkrete künftige Kurszeit sichtbar.</x:v>
      </x:c>
      <x:c r="M51" s="35" t="str">
        <x:v>30.06.2026</x:v>
      </x:c>
      <x:c r="N51" s="35" t="str">
        <x:v>Bestand aus Prüftabelle 30.06.2026</x:v>
      </x:c>
    </x:row>
    <x:row r="52">
      <x:c r="A52" s="35" t="str">
        <x:v>Data &amp; Analytics Skills</x:v>
      </x:c>
      <x:c r="B52" s="35" t="str">
        <x:v>Verständnis von Reporting &amp; Forecasts</x:v>
      </x:c>
      <x:c r="C52" s="35" t="str">
        <x:v>Verständnis von Echtzeit-Daten, Predictive Analytics &amp; AI Insights</x:v>
      </x:c>
      <x:c r="D52" s="35" t="str">
        <x:v>Erweitert</x:v>
      </x:c>
      <x:c r="E52" s="35" t="str">
        <x:v>DixonTech</x:v>
      </x:c>
      <x:c r="F52" s="35" t="str">
        <x:v>PM20 / AI dashboards</x:v>
      </x:c>
      <x:c r="G52" s="63" t="str">
        <x:v>Aktiv – Termin offen</x:v>
      </x:c>
      <x:c r="H52" s="35" t="str">
        <x:v>Nicht öffentlich veröffentlicht</x:v>
      </x:c>
      <x:c r="I52" s="35" t="str">
        <x:v>Nicht veröffentlicht</x:v>
      </x:c>
      <x:c r="J52" s="35" t="str">
        <x:v>Anmeldung vorbehaltlich Freigabe / Plätze</x:v>
      </x:c>
      <x:c r="K52" s="35" t="str">
        <x:v>https://dixontech.uk/Course/PM20</x:v>
      </x:c>
      <x:c r="L52" s="35" t="str">
        <x:v>Kursseite aktiv; Termine/Format nicht konkret sichtbar.</x:v>
      </x:c>
      <x:c r="M52" s="35" t="str">
        <x:v>30.06.2026</x:v>
      </x:c>
      <x:c r="N52" s="35" t="str">
        <x:v>Bestand aus Prüftabelle 30.06.2026</x:v>
      </x:c>
    </x:row>
    <x:row r="53">
      <x:c r="A53" s="35" t="str">
        <x:v>Data &amp; Analytics Skills</x:v>
      </x:c>
      <x:c r="B53" s="35" t="str">
        <x:v>Nutzung von KPIs &amp; Management-Dashboards</x:v>
      </x:c>
      <x:c r="C53" s="35" t="str">
        <x:v>Nutzung von Dashboards &amp; KPIs, um AI-Wertbeiträge zu steuern</x:v>
      </x:c>
      <x:c r="D53" s="35" t="str">
        <x:v>Erweitert</x:v>
      </x:c>
      <x:c r="E53" s="35" t="str">
        <x:v>Evolvix Skills</x:v>
      </x:c>
      <x:c r="F53" s="35" t="str">
        <x:v>Advanced BI Tools, Analytics &amp; Data Visualization</x:v>
      </x:c>
      <x:c r="G53" s="49" t="str">
        <x:v>Aktuell</x:v>
      </x:c>
      <x:c r="H53" s="35" t="str">
        <x:v>Termin / Durchführung auf Anfrage</x:v>
      </x:c>
      <x:c r="I53" s="35" t="str">
        <x:v>Online, vor Ort oder Inhouse</x:v>
      </x:c>
      <x:c r="J53" s="35" t="str">
        <x:v>Aktuelle Kursseite vorhanden</x:v>
      </x:c>
      <x:c r="K53" s="35" t="str">
        <x:v>https://evolvixskills.com/courses/advanced-bi-tools-analytics-data-visualization-training-course/</x:v>
      </x:c>
      <x:c r="L53" s="35" t="str">
        <x:v>Alte Bezeichnung durch aktuell auffindbares Evolvix-Angebot ersetzt.</x:v>
      </x:c>
      <x:c r="M53" s="35" t="str">
        <x:v>15.07.2026</x:v>
      </x:c>
      <x:c r="N53" s="35" t="str">
        <x:v>Bestand – am 15.07.2026 erneut bestätigt</x:v>
      </x:c>
    </x:row>
    <x:row r="54">
      <x:c r="A54" s="35" t="str">
        <x:v>Data &amp; Analytics Skills</x:v>
      </x:c>
      <x:c r="B54" s="35" t="str">
        <x:v>Nutzung von KPIs &amp; Management-Dashboards</x:v>
      </x:c>
      <x:c r="C54" s="35" t="str">
        <x:v>Daten analysieren und Managemententscheidungen fundieren</x:v>
      </x:c>
      <x:c r="D54" s="35" t="str">
        <x:v>Neu</x:v>
      </x:c>
      <x:c r="E54" s="35" t="str">
        <x:v>Harvard Business School Online</x:v>
      </x:c>
      <x:c r="F54" s="35" t="str">
        <x:v>Business Analytics</x:v>
      </x:c>
      <x:c r="G54" s="49" t="str">
        <x:v>Aktuell</x:v>
      </x:c>
      <x:c r="H54" s="35" t="str">
        <x:v>Rollierende Online-Kohorten</x:v>
      </x:c>
      <x:c r="I54" s="35" t="str">
        <x:v>Online</x:v>
      </x:c>
      <x:c r="J54" s="35" t="str">
        <x:v>Anmeldung über Anbieter</x:v>
      </x:c>
      <x:c r="K54" s="35" t="str">
        <x:v>https://online.hbs.edu/courses/business-analytics</x:v>
      </x:c>
      <x:c r="L54" s="35" t="str">
        <x:v>Business-Analytics-Grundlagen für datenbasierte Entscheidungen.</x:v>
      </x:c>
      <x:c r="M54" s="35" t="str">
        <x:v>15.07.2026</x:v>
      </x:c>
      <x:c r="N54" s="67" t="str">
        <x:v>Neu recherchiert</x:v>
      </x:c>
    </x:row>
    <x:row r="55">
      <x:c r="A55" s="35" t="str">
        <x:v>Data &amp; Analytics Skills</x:v>
      </x:c>
      <x:c r="B55" s="35" t="str">
        <x:v>Nutzung von KPIs &amp; Management-Dashboards</x:v>
      </x:c>
      <x:c r="C55" s="35" t="str">
        <x:v>Daten in Power BI aufbereiten, visualisieren und interpretieren</x:v>
      </x:c>
      <x:c r="D55" s="35" t="str">
        <x:v>Neu</x:v>
      </x:c>
      <x:c r="E55" s="35" t="str">
        <x:v>Microsoft Learn</x:v>
      </x:c>
      <x:c r="F55" s="35" t="str">
        <x:v>Power BI learning paths</x:v>
      </x:c>
      <x:c r="G55" s="49" t="str">
        <x:v>Aktuell</x:v>
      </x:c>
      <x:c r="H55" s="35" t="str">
        <x:v>Jederzeit (selbstgesteuert)</x:v>
      </x:c>
      <x:c r="I55" s="35" t="str">
        <x:v>Online</x:v>
      </x:c>
      <x:c r="J55" s="35" t="str">
        <x:v>Kostenlose Lernpfade</x:v>
      </x:c>
      <x:c r="K55" s="35" t="str">
        <x:v>https://learn.microsoft.com/en-us/training/powerplatform/power-bi</x:v>
      </x:c>
      <x:c r="L55" s="35" t="str">
        <x:v>Offizielle Microsoft-Lernpfade für Power BI und Management-Dashboards.</x:v>
      </x:c>
      <x:c r="M55" s="35" t="str">
        <x:v>15.07.2026</x:v>
      </x:c>
      <x:c r="N55" s="67" t="str">
        <x:v>Neu recherchiert</x:v>
      </x:c>
    </x:row>
    <x:row r="56">
      <x:c r="A56" s="35" t="str">
        <x:v>Data &amp; Analytics Skills</x:v>
      </x:c>
      <x:c r="B56" s="35" t="str">
        <x:v>Verständnis von Reporting &amp; Forecasts</x:v>
      </x:c>
      <x:c r="C56" s="35" t="str">
        <x:v>Data-Science-Projekte auf Executive-Ebene strukturieren und steuern</x:v>
      </x:c>
      <x:c r="D56" s="35" t="str">
        <x:v>Neu</x:v>
      </x:c>
      <x:c r="E56" s="35" t="str">
        <x:v>Coursera / Johns Hopkins University</x:v>
      </x:c>
      <x:c r="F56" s="35" t="str">
        <x:v>Executive Data Science Specialization</x:v>
      </x:c>
      <x:c r="G56" s="49" t="str">
        <x:v>Aktuell</x:v>
      </x:c>
      <x:c r="H56" s="35" t="str">
        <x:v>Jederzeit (flexibel)</x:v>
      </x:c>
      <x:c r="I56" s="35" t="str">
        <x:v>Online</x:v>
      </x:c>
      <x:c r="J56" s="35" t="str">
        <x:v>Einschreibung möglich</x:v>
      </x:c>
      <x:c r="K56" s="35" t="str">
        <x:v>https://www.coursera.org/specializations/executive-data-science</x:v>
      </x:c>
      <x:c r="L56" s="35" t="str">
        <x:v>Executive-Fokus auf Data-Science-Teams, Entscheidungen und Projektsteuerung.</x:v>
      </x:c>
      <x:c r="M56" s="35" t="str">
        <x:v>15.07.2026</x:v>
      </x:c>
      <x:c r="N56" s="67" t="str">
        <x:v>Neu recherchiert</x:v>
      </x:c>
    </x:row>
    <x:row r="57">
      <x:c r="A57" s="59" t="str">
        <x:v>Compliance Skills</x:v>
      </x:c>
      <x:c r="B57" s="52" t="str">
        <x:v>DSGVO, ESG, Corporate Governance</x:v>
      </x:c>
      <x:c r="C57" s="52" t="str">
        <x:v>Überblick über KI-relevante Regulierungen (EU AI Act, Datenschutz)</x:v>
      </x:c>
      <x:c r="D57" s="52" t="str">
        <x:v>Erweitert</x:v>
      </x:c>
      <x:c r="E57" s="52" t="str">
        <x:v>Udemy</x:v>
      </x:c>
      <x:c r="F57" s="52" t="str">
        <x:v>AI Literacy and EU AI Act Compliance</x:v>
      </x:c>
      <x:c r="G57" s="53" t="str">
        <x:v>Aktuell</x:v>
      </x:c>
      <x:c r="H57" s="52" t="str">
        <x:v>Jederzeit (on-demand)</x:v>
      </x:c>
      <x:c r="I57" s="52" t="str">
        <x:v>Online</x:v>
      </x:c>
      <x:c r="J57" s="52" t="str">
        <x:v>Kursseite aktiv / Kauf möglich</x:v>
      </x:c>
      <x:c r="K57" s="52" t="str">
        <x:v>https://www.udemy.com/course/ai-literacy-and-eu-ai-act-compliance/</x:v>
      </x:c>
      <x:c r="L57" s="52" t="str">
        <x:v>Letzte Aktualisierung laut Seite: 12/2025.</x:v>
      </x:c>
      <x:c r="M57" s="52" t="str">
        <x:v>30.06.2026</x:v>
      </x:c>
      <x:c r="N57" s="54" t="str">
        <x:v>Bestand aus Prüftabelle 30.06.2026</x:v>
      </x:c>
    </x:row>
    <x:row r="58">
      <x:c r="A58" s="35" t="str">
        <x:v>Compliance Skills</x:v>
      </x:c>
      <x:c r="B58" s="35" t="str">
        <x:v>DSGVO, ESG, Corporate Governance</x:v>
      </x:c>
      <x:c r="C58" s="35" t="str">
        <x:v>Überblick über KI-relevante Regulierungen (EU AI Act, Datenschutz)</x:v>
      </x:c>
      <x:c r="D58" s="35" t="str">
        <x:v>Erweitert</x:v>
      </x:c>
      <x:c r="E58" s="35" t="str">
        <x:v>IHK Kompetenz.plus</x:v>
      </x:c>
      <x:c r="F58" s="35" t="str">
        <x:v>AI Compliance Manager (IHK)</x:v>
      </x:c>
      <x:c r="G58" s="49" t="str">
        <x:v>Aktuell</x:v>
      </x:c>
      <x:c r="H58" s="35" t="str">
        <x:v>04.09.2026</x:v>
      </x:c>
      <x:c r="I58" s="35" t="str">
        <x:v>Online – virtuell</x:v>
      </x:c>
      <x:c r="J58" s="35" t="str">
        <x:v>Termine sichtbar</x:v>
      </x:c>
      <x:c r="K58" s="35" t="str">
        <x:v>https://ihk-kompetenz.plus/weitere-lehrgaenge/ai-compliance-manager-ihk-ma/</x:v>
      </x:c>
      <x:c r="L58" s="35" t="str">
        <x:v>Weiterer sichtbarer Start: 02.11.2026.</x:v>
      </x:c>
      <x:c r="M58" s="35" t="str">
        <x:v>30.06.2026</x:v>
      </x:c>
      <x:c r="N58" s="35" t="str">
        <x:v>Bestand aus Prüftabelle 30.06.2026</x:v>
      </x:c>
    </x:row>
    <x:row r="59">
      <x:c r="A59" s="35" t="str">
        <x:v>Compliance Skills</x:v>
      </x:c>
      <x:c r="B59" s="35" t="str">
        <x:v>DSGVO, ESG, Corporate Governance</x:v>
      </x:c>
      <x:c r="C59" s="35" t="str">
        <x:v>Überblick über KI-relevante Regulierungen (EU AI Act, Datenschutz)</x:v>
      </x:c>
      <x:c r="D59" s="35" t="str">
        <x:v>Erweitert</x:v>
      </x:c>
      <x:c r="E59" s="35" t="str">
        <x:v>Udemy</x:v>
      </x:c>
      <x:c r="F59" s="35" t="str">
        <x:v>EU AI Act Compliance</x:v>
      </x:c>
      <x:c r="G59" s="49" t="str">
        <x:v>Aktuell</x:v>
      </x:c>
      <x:c r="H59" s="35" t="str">
        <x:v>Jederzeit (on-demand)</x:v>
      </x:c>
      <x:c r="I59" s="35" t="str">
        <x:v>Online</x:v>
      </x:c>
      <x:c r="J59" s="35" t="str">
        <x:v>Kursseite aktiv / Kauf möglich</x:v>
      </x:c>
      <x:c r="K59" s="35" t="str">
        <x:v>https://www.udemy.com/course/eu-ai-act-compliance/</x:v>
      </x:c>
      <x:c r="L59" s="35" t="str">
        <x:v>Letzte Aktualisierung laut Seite: 12/2025.</x:v>
      </x:c>
      <x:c r="M59" s="35" t="str">
        <x:v>30.06.2026</x:v>
      </x:c>
      <x:c r="N59" s="35" t="str">
        <x:v>Bestand aus Prüftabelle 30.06.2026</x:v>
      </x:c>
    </x:row>
    <x:row r="60">
      <x:c r="A60" s="35" t="str">
        <x:v>Compliance Skills</x:v>
      </x:c>
      <x:c r="B60" s="35" t="str">
        <x:v>DSGVO, ESG, Corporate Governance</x:v>
      </x:c>
      <x:c r="C60" s="35" t="str">
        <x:v>Überblick über KI-relevante Regulierungen (EU AI Act, Datenschutz)</x:v>
      </x:c>
      <x:c r="D60" s="35" t="str">
        <x:v>Erweitert</x:v>
      </x:c>
      <x:c r="E60" s="35" t="str">
        <x:v>Udemy</x:v>
      </x:c>
      <x:c r="F60" s="35" t="str">
        <x:v>EU AI Act Masterclass</x:v>
      </x:c>
      <x:c r="G60" s="49" t="str">
        <x:v>Aktuell</x:v>
      </x:c>
      <x:c r="H60" s="35" t="str">
        <x:v>Jederzeit (on-demand)</x:v>
      </x:c>
      <x:c r="I60" s="35" t="str">
        <x:v>Online</x:v>
      </x:c>
      <x:c r="J60" s="35" t="str">
        <x:v>Kursseite aktiv / Kauf möglich</x:v>
      </x:c>
      <x:c r="K60" s="35" t="str">
        <x:v>https://www.udemy.com/course/eu-ai-act-masterclass/</x:v>
      </x:c>
      <x:c r="L60" s="35" t="str">
        <x:v>Letzte Aktualisierung laut Seite: 12/2025.</x:v>
      </x:c>
      <x:c r="M60" s="35" t="str">
        <x:v>30.06.2026</x:v>
      </x:c>
      <x:c r="N60" s="35" t="str">
        <x:v>Bestand aus Prüftabelle 30.06.2026</x:v>
      </x:c>
    </x:row>
    <x:row r="61">
      <x:c r="A61" s="35" t="str">
        <x:v>Compliance Skills</x:v>
      </x:c>
      <x:c r="B61" s="35" t="str">
        <x:v>Haftung &amp; regulatorische Verantwortung</x:v>
      </x:c>
      <x:c r="C61" s="35" t="str">
        <x:v>Verständnis von AI-Risiken für Reputation &amp; Haftung</x:v>
      </x:c>
      <x:c r="D61" s="35" t="str">
        <x:v>Erweitert</x:v>
      </x:c>
      <x:c r="E61" s="35" t="str">
        <x:v>Data Privacy Office Europe</x:v>
      </x:c>
      <x:c r="F61" s="35" t="str">
        <x:v>Artificial Intelligence Compliance Professional for Europe (AICP-E)</x:v>
      </x:c>
      <x:c r="G61" s="49" t="str">
        <x:v>Aktuell</x:v>
      </x:c>
      <x:c r="H61" s="35" t="str">
        <x:v>29.06.–29.07.2026 (laufend)</x:v>
      </x:c>
      <x:c r="I61" s="35" t="str">
        <x:v>Online – Live</x:v>
      </x:c>
      <x:c r="J61" s="35" t="str">
        <x:v>Kohorte läuft; „Ready to enroll“ / Beratung</x:v>
      </x:c>
      <x:c r="K61" s="35" t="str">
        <x:v>https://data-privacy-office.eu/courses/artificial-intelligence-regulation-the-fundamentals-of-risk-management-personal-data/</x:v>
      </x:c>
      <x:c r="L61" s="35" t="str">
        <x:v>4 Wochen, 10 Klassen; Aufzeichnungen inklusive.</x:v>
      </x:c>
      <x:c r="M61" s="35" t="str">
        <x:v>30.06.2026</x:v>
      </x:c>
      <x:c r="N61" s="35" t="str">
        <x:v>Bestand aus Prüftabelle 30.06.2026</x:v>
      </x:c>
    </x:row>
    <x:row r="62">
      <x:c r="A62" s="35" t="str">
        <x:v>Compliance Skills</x:v>
      </x:c>
      <x:c r="B62" s="35" t="str">
        <x:v>DSGVO, ESG, Corporate Governance</x:v>
      </x:c>
      <x:c r="C62" s="35" t="str">
        <x:v>EU AI Act, Rollen, Dokumentation und Compliance-Prozesse umsetzen</x:v>
      </x:c>
      <x:c r="D62" s="35" t="str">
        <x:v>Neu</x:v>
      </x:c>
      <x:c r="E62" s="35" t="str">
        <x:v>Bitkom Akademie</x:v>
      </x:c>
      <x:c r="F62" s="35" t="str">
        <x:v>KI-Compliance Beauftragter</x:v>
      </x:c>
      <x:c r="G62" s="49" t="str">
        <x:v>Aktuell</x:v>
      </x:c>
      <x:c r="H62" s="35" t="str">
        <x:v>Termine im Buchungsbereich</x:v>
      </x:c>
      <x:c r="I62" s="35" t="str">
        <x:v>Online</x:v>
      </x:c>
      <x:c r="J62" s="35" t="str">
        <x:v>Buchung / Anfrage</x:v>
      </x:c>
      <x:c r="K62" s="35" t="str">
        <x:v>https://bitkom-akademie.de/lehrgang/KI-compliance-beauftragter</x:v>
      </x:c>
      <x:c r="L62" s="35" t="str">
        <x:v>Praxisorientierter Lehrgang für AI-Compliance in Unternehmen.</x:v>
      </x:c>
      <x:c r="M62" s="35" t="str">
        <x:v>15.07.2026</x:v>
      </x:c>
      <x:c r="N62" s="67" t="str">
        <x:v>Neu recherchiert</x:v>
      </x:c>
    </x:row>
    <x:row r="63">
      <x:c r="A63" s="35" t="str">
        <x:v>Compliance Skills</x:v>
      </x:c>
      <x:c r="B63" s="35" t="str">
        <x:v>Haftung &amp; regulatorische Verantwortung</x:v>
      </x:c>
      <x:c r="C63" s="35" t="str">
        <x:v>AI-Risiken, gesetzliche Pflichten und interne Zuständigkeiten koordinieren</x:v>
      </x:c>
      <x:c r="D63" s="35" t="str">
        <x:v>Neu</x:v>
      </x:c>
      <x:c r="E63" s="35" t="str">
        <x:v>TÜV Rheinland Akademie</x:v>
      </x:c>
      <x:c r="F63" s="35" t="str">
        <x:v>AI Coordinator (TÜV)</x:v>
      </x:c>
      <x:c r="G63" s="49" t="str">
        <x:v>Aktuell</x:v>
      </x:c>
      <x:c r="H63" s="35" t="str">
        <x:v>Mehrere Termine laut Anbieter</x:v>
      </x:c>
      <x:c r="I63" s="35" t="str">
        <x:v>Online oder Präsenz</x:v>
      </x:c>
      <x:c r="J63" s="35" t="str">
        <x:v>Buchbare Weiterbildung</x:v>
      </x:c>
      <x:c r="K63" s="35" t="str">
        <x:v>https://akademie.tuv.com/weiterbildungen/ai-coordinator-tuev-32159806</x:v>
      </x:c>
      <x:c r="L63" s="35" t="str">
        <x:v>Rollen- und Praxiswissen zur verantwortlichen AI-Einführung.</x:v>
      </x:c>
      <x:c r="M63" s="35" t="str">
        <x:v>15.07.2026</x:v>
      </x:c>
      <x:c r="N63" s="67" t="str">
        <x:v>Neu recherchiert</x:v>
      </x:c>
    </x:row>
    <x:row r="64">
      <x:c r="A64" s="35" t="str">
        <x:v>Compliance Skills</x:v>
      </x:c>
      <x:c r="B64" s="35" t="str">
        <x:v>Zusammenarbeit mit Legal, Audit, Board</x:v>
      </x:c>
      <x:c r="C64" s="35" t="str">
        <x:v>AI-Managementsysteme nach ISO/IEC 42001 prüfen</x:v>
      </x:c>
      <x:c r="D64" s="35" t="str">
        <x:v>Neu</x:v>
      </x:c>
      <x:c r="E64" s="35" t="str">
        <x:v>Bitkom Akademie</x:v>
      </x:c>
      <x:c r="F64" s="35" t="str">
        <x:v>Auditor für KI-Managementsysteme nach ISO/IEC 42001</x:v>
      </x:c>
      <x:c r="G64" s="49" t="str">
        <x:v>Aktuell</x:v>
      </x:c>
      <x:c r="H64" s="35" t="str">
        <x:v>Termine im Buchungsbereich</x:v>
      </x:c>
      <x:c r="I64" s="35" t="str">
        <x:v>Online</x:v>
      </x:c>
      <x:c r="J64" s="35" t="str">
        <x:v>Buchung / Anfrage</x:v>
      </x:c>
      <x:c r="K64" s="35" t="str">
        <x:v>https://bitkom-akademie.de/lehrgang/auditor_fuer_ki-managementsysteme_nach_ISO_IEC42001</x:v>
      </x:c>
      <x:c r="L64" s="35" t="str">
        <x:v>Auditorenqualifikation für AI-Managementsysteme und Kontrollprozesse.</x:v>
      </x:c>
      <x:c r="M64" s="35" t="str">
        <x:v>15.07.2026</x:v>
      </x:c>
      <x:c r="N64" s="67" t="str">
        <x:v>Neu recherchiert</x:v>
      </x:c>
    </x:row>
    <x:row r="65">
      <x:c r="A65" s="59" t="str">
        <x:v>Team &amp; Leadership Skills</x:v>
      </x:c>
      <x:c r="B65" s="52" t="str">
        <x:v>Führung des Executive Teams</x:v>
      </x:c>
      <x:c r="C65" s="52" t="str">
        <x:v>Aufbau einer Unternehmenskultur, die AI-gestützte Entscheidungen priorisiert</x:v>
      </x:c>
      <x:c r="D65" s="52" t="str">
        <x:v>Erweitert</x:v>
      </x:c>
      <x:c r="E65" s="52" t="str">
        <x:v>Bitkom Akademie</x:v>
      </x:c>
      <x:c r="F65" s="52" t="str">
        <x:v>AI Leadership</x:v>
      </x:c>
      <x:c r="G65" s="69" t="str">
        <x:v>Aktiv – Termin offen</x:v>
      </x:c>
      <x:c r="H65" s="52" t="str">
        <x:v>Termine im Buchungsbereich</x:v>
      </x:c>
      <x:c r="I65" s="52" t="str">
        <x:v>Online – Zoom</x:v>
      </x:c>
      <x:c r="J65" s="52" t="str">
        <x:v>Buchung / Anfrage</x:v>
      </x:c>
      <x:c r="K65" s="52" t="str">
        <x:v>https://bitkom-akademie.de/lehrgang/ai_leadership</x:v>
      </x:c>
      <x:c r="L65" s="52" t="str">
        <x:v>5-tägiger Lehrgang; Seite aktiv, aber kein Termin in der öffentlich auslesbaren Ansicht.</x:v>
      </x:c>
      <x:c r="M65" s="52" t="str">
        <x:v>30.06.2026</x:v>
      </x:c>
      <x:c r="N65" s="54" t="str">
        <x:v>Bestand aus Prüftabelle 30.06.2026</x:v>
      </x:c>
    </x:row>
    <x:row r="66">
      <x:c r="A66" s="35" t="str">
        <x:v>Team &amp; Leadership Skills</x:v>
      </x:c>
      <x:c r="B66" s="35" t="str">
        <x:v>Führung des Executive Teams</x:v>
      </x:c>
      <x:c r="C66" s="35" t="str">
        <x:v>Aufbau einer Unternehmenskultur, die AI-gestützte Entscheidungen priorisiert</x:v>
      </x:c>
      <x:c r="D66" s="35" t="str">
        <x:v>Erweitert</x:v>
      </x:c>
      <x:c r="E66" s="35" t="str">
        <x:v>HNU Hochschule Neu-Ulm</x:v>
      </x:c>
      <x:c r="F66" s="35" t="str">
        <x:v>AI Leadership</x:v>
      </x:c>
      <x:c r="G66" s="63" t="str">
        <x:v>Aktiv – Termin offen</x:v>
      </x:c>
      <x:c r="H66" s="35" t="str">
        <x:v>Letzter sichtbarer Start: 28.04.2026</x:v>
      </x:c>
      <x:c r="I66" s="35" t="str">
        <x:v>Hybrid – Neu-Ulm + online</x:v>
      </x:c>
      <x:c r="J66" s="35" t="str">
        <x:v>Nächste Kohorte anfragen</x:v>
      </x:c>
      <x:c r="K66" s="35" t="str">
        <x:v>https://www.hnu.de/weiterbildung/weiterbildungsprogramme/ai-leadership</x:v>
      </x:c>
      <x:c r="L66" s="35" t="str">
        <x:v>9-wöchiges Programm; auf Seite kein nächster Start sichtbar.</x:v>
      </x:c>
      <x:c r="M66" s="35" t="str">
        <x:v>30.06.2026</x:v>
      </x:c>
      <x:c r="N66" s="35" t="str">
        <x:v>Bestand aus Prüftabelle 30.06.2026</x:v>
      </x:c>
    </x:row>
    <x:row r="67">
      <x:c r="A67" s="35" t="str">
        <x:v>Team &amp; Leadership Skills</x:v>
      </x:c>
      <x:c r="B67" s="35" t="str">
        <x:v>Organisationsdesign &amp; Anreizsysteme</x:v>
      </x:c>
      <x:c r="C67" s="35" t="str">
        <x:v>Talent-Allokation für AI-getriebene Projekte</x:v>
      </x:c>
      <x:c r="D67" s="35" t="str">
        <x:v>Erweitert</x:v>
      </x:c>
      <x:c r="E67" s="35" t="str">
        <x:v>London School of Economics</x:v>
      </x:c>
      <x:c r="F67" s="35" t="str">
        <x:v>AI Leadership Accelerator</x:v>
      </x:c>
      <x:c r="G67" s="49" t="str">
        <x:v>Aktuell</x:v>
      </x:c>
      <x:c r="H67" s="35" t="str">
        <x:v>10.08.2026</x:v>
      </x:c>
      <x:c r="I67" s="35" t="str">
        <x:v>Online</x:v>
      </x:c>
      <x:c r="J67" s="35" t="str">
        <x:v>Offene Anmeldung</x:v>
      </x:c>
      <x:c r="K67" s="35" t="str">
        <x:v>https://www.lse.ac.uk/study-at-lse/executive-education/programmes/ai-leadership-accelerator</x:v>
      </x:c>
      <x:c r="L67" s="35" t="str">
        <x:v>6 Monate; Career Accelerator; Start laut Seite offen.</x:v>
      </x:c>
      <x:c r="M67" s="35" t="str">
        <x:v>30.06.2026</x:v>
      </x:c>
      <x:c r="N67" s="35" t="str">
        <x:v>Bestand aus Prüftabelle 30.06.2026</x:v>
      </x:c>
    </x:row>
    <x:row r="68">
      <x:c r="A68" s="35" t="str">
        <x:v>Team &amp; Leadership Skills</x:v>
      </x:c>
      <x:c r="B68" s="35" t="str">
        <x:v>Talent- &amp; Nachfolgeplanung</x:v>
      </x:c>
      <x:c r="C68" s="35" t="str">
        <x:v>Förderung von AI-Literacy in Management &amp; Mitarbeitern</x:v>
      </x:c>
      <x:c r="D68" s="35" t="str">
        <x:v>Erweitert</x:v>
      </x:c>
      <x:c r="E68" s="35" t="str">
        <x:v>Harvard Business School Online</x:v>
      </x:c>
      <x:c r="F68" s="35" t="str">
        <x:v>AI for Leaders</x:v>
      </x:c>
      <x:c r="G68" s="49" t="str">
        <x:v>Aktuell</x:v>
      </x:c>
      <x:c r="H68" s="35" t="str">
        <x:v>Jederzeit (on-demand)</x:v>
      </x:c>
      <x:c r="I68" s="35" t="str">
        <x:v>Online</x:v>
      </x:c>
      <x:c r="J68" s="35" t="str">
        <x:v>Start anytime</x:v>
      </x:c>
      <x:c r="K68" s="35" t="str">
        <x:v>https://online.hbs.edu/courses/ai-for-leaders/</x:v>
      </x:c>
      <x:c r="L68" s="35" t="str">
        <x:v>Selbstgesteuert, 90 Tage Zugriff.</x:v>
      </x:c>
      <x:c r="M68" s="35" t="str">
        <x:v>30.06.2026</x:v>
      </x:c>
      <x:c r="N68" s="35" t="str">
        <x:v>Bestand aus Prüftabelle 30.06.2026</x:v>
      </x:c>
    </x:row>
    <x:row r="69">
      <x:c r="A69" s="35" t="str">
        <x:v>Team &amp; Leadership Skills</x:v>
      </x:c>
      <x:c r="B69" s="35" t="str">
        <x:v>Talent- &amp; Nachfolgeplanung</x:v>
      </x:c>
      <x:c r="C69" s="35" t="str">
        <x:v>Förderung von AI-Literacy in Management &amp; Mitarbeitern</x:v>
      </x:c>
      <x:c r="D69" s="35" t="str">
        <x:v>Erweitert</x:v>
      </x:c>
      <x:c r="E69" s="35" t="str">
        <x:v>Handelsblatt Management Campus</x:v>
      </x:c>
      <x:c r="F69" s="35" t="str">
        <x:v>KI Leadership Masterclass</x:v>
      </x:c>
      <x:c r="G69" s="49" t="str">
        <x:v>Aktuell</x:v>
      </x:c>
      <x:c r="H69" s="35" t="str">
        <x:v>Jederzeit (on-demand)</x:v>
      </x:c>
      <x:c r="I69" s="35" t="str">
        <x:v>Online</x:v>
      </x:c>
      <x:c r="J69" s="35" t="str">
        <x:v>Lernplattform / buchbar</x:v>
      </x:c>
      <x:c r="K69" s="35" t="str">
        <x:v>https://management-campus.handelsblatt.com/produkt/ki-leadership-masterclass/</x:v>
      </x:c>
      <x:c r="L69" s="35" t="str">
        <x:v>On-demand-Selbststudium; kein fester Start.</x:v>
      </x:c>
      <x:c r="M69" s="35" t="str">
        <x:v>30.06.2026</x:v>
      </x:c>
      <x:c r="N69" s="35" t="str">
        <x:v>Bestand aus Prüftabelle 30.06.2026</x:v>
      </x:c>
    </x:row>
    <x:row r="70">
      <x:c r="A70" s="35" t="str">
        <x:v>Team &amp; Leadership Skills</x:v>
      </x:c>
      <x:c r="B70" s="35" t="str">
        <x:v>Führung des Executive Teams</x:v>
      </x:c>
      <x:c r="C70" s="35" t="str">
        <x:v>Aufbau einer Unternehmenskultur, die AI-gestützte Entscheidungen priorisiert</x:v>
      </x:c>
      <x:c r="D70" s="35" t="str">
        <x:v>Erweitert</x:v>
      </x:c>
      <x:c r="E70" s="35" t="str">
        <x:v>Coursera / Wiley</x:v>
      </x:c>
      <x:c r="F70" s="35" t="str">
        <x:v>Leading AI Projects and Building the Right Culture</x:v>
      </x:c>
      <x:c r="G70" s="49" t="str">
        <x:v>Aktuell</x:v>
      </x:c>
      <x:c r="H70" s="35" t="str">
        <x:v>Jederzeit (flexibel)</x:v>
      </x:c>
      <x:c r="I70" s="35" t="str">
        <x:v>Online</x:v>
      </x:c>
      <x:c r="J70" s="35" t="str">
        <x:v>Einschreibung möglich</x:v>
      </x:c>
      <x:c r="K70" s="35" t="str">
        <x:v>https://www.coursera.org/learn/wiley-leading-ai-projects-and-building-the-right-culture</x:v>
      </x:c>
      <x:c r="L70" s="35" t="str">
        <x:v>Aktiver Kurs zu AI-Projekten, Organisationskultur und Führung.</x:v>
      </x:c>
      <x:c r="M70" s="35" t="str">
        <x:v>15.07.2026</x:v>
      </x:c>
      <x:c r="N70" s="49" t="str">
        <x:v>Ersatz für nicht mehr vorhandenen Kurs</x:v>
      </x:c>
    </x:row>
    <x:row r="71">
      <x:c r="A71" s="35" t="str">
        <x:v>Team &amp; Leadership Skills</x:v>
      </x:c>
      <x:c r="B71" s="35" t="str">
        <x:v>Organisationsdesign &amp; Anreizsysteme</x:v>
      </x:c>
      <x:c r="C71" s="35" t="str">
        <x:v>Talent-Allokation für AI-getriebene Projekte</x:v>
      </x:c>
      <x:c r="D71" s="35" t="str">
        <x:v>Erweitert</x:v>
      </x:c>
      <x:c r="E71" s="35" t="str">
        <x:v>Coursera</x:v>
      </x:c>
      <x:c r="F71" s="35" t="str">
        <x:v>Leading Cross-Functional AI Delivery</x:v>
      </x:c>
      <x:c r="G71" s="49" t="str">
        <x:v>Aktuell</x:v>
      </x:c>
      <x:c r="H71" s="35" t="str">
        <x:v>Jederzeit (flexibel)</x:v>
      </x:c>
      <x:c r="I71" s="35" t="str">
        <x:v>Online</x:v>
      </x:c>
      <x:c r="J71" s="35" t="str">
        <x:v>Einschreibung möglich</x:v>
      </x:c>
      <x:c r="K71" s="35" t="str">
        <x:v>https://www.coursera.org/learn/leading-cross-functional-ai-delivery</x:v>
      </x:c>
      <x:c r="L71" s="35" t="str">
        <x:v>Fokus auf Rollenklärung, Zusammenarbeit und Steuerung funktionsübergreifender AI-Teams.</x:v>
      </x:c>
      <x:c r="M71" s="35" t="str">
        <x:v>15.07.2026</x:v>
      </x:c>
      <x:c r="N71" s="49" t="str">
        <x:v>Ersatz für nicht mehr vorhandenen Kurs</x:v>
      </x:c>
    </x:row>
    <x:row r="72">
      <x:c r="A72" s="35" t="str">
        <x:v>Team &amp; Leadership Skills</x:v>
      </x:c>
      <x:c r="B72" s="35" t="str">
        <x:v>Organisationsdesign &amp; Anreizsysteme</x:v>
      </x:c>
      <x:c r="C72" s="35" t="str">
        <x:v>Talent-Allokation für AI-getriebene Projekte</x:v>
      </x:c>
      <x:c r="D72" s="35" t="str">
        <x:v>Erweitert</x:v>
      </x:c>
      <x:c r="E72" s="35" t="str">
        <x:v>INSEAD</x:v>
      </x:c>
      <x:c r="F72" s="35" t="str">
        <x:v>Reinventing Teams with AI</x:v>
      </x:c>
      <x:c r="G72" s="49" t="str">
        <x:v>Aktuell</x:v>
      </x:c>
      <x:c r="H72" s="35" t="str">
        <x:v>22.03.2027</x:v>
      </x:c>
      <x:c r="I72" s="35" t="str">
        <x:v>Präsenz – Fontainebleau</x:v>
      </x:c>
      <x:c r="J72" s="35" t="str">
        <x:v>Interesse registrieren / Platz reservieren</x:v>
      </x:c>
      <x:c r="K72" s="35" t="str">
        <x:v>https://www.insead.edu/executive-education/leadership/reinventing-teams-ai</x:v>
      </x:c>
      <x:c r="L72" s="35" t="str">
        <x:v>Dreitägiges Executive-Programm zur Führung hybrider Mensch-AI-Teams.</x:v>
      </x:c>
      <x:c r="M72" s="35" t="str">
        <x:v>15.07.2026</x:v>
      </x:c>
      <x:c r="N72" s="49" t="str">
        <x:v>Ersatz für nicht mehr vorhandenen Kurs</x:v>
      </x:c>
    </x:row>
    <x:row r="73">
      <x:c r="A73" s="35" t="str">
        <x:v>Team &amp; Leadership Skills</x:v>
      </x:c>
      <x:c r="B73" s="35" t="str">
        <x:v>Talent- &amp; Nachfolgeplanung</x:v>
      </x:c>
      <x:c r="C73" s="35" t="str">
        <x:v>Förderung von AI-Literacy in Management &amp; Mitarbeitern</x:v>
      </x:c>
      <x:c r="D73" s="35" t="str">
        <x:v>Erweitert</x:v>
      </x:c>
      <x:c r="E73" s="35" t="str">
        <x:v>Smartnet Academy</x:v>
      </x:c>
      <x:c r="F73" s="35" t="str">
        <x:v>AI for Managers: Lead AI Strategy, Teams &amp; Innovation Without Coding</x:v>
      </x:c>
      <x:c r="G73" s="49" t="str">
        <x:v>Aktuell</x:v>
      </x:c>
      <x:c r="H73" s="35" t="str">
        <x:v>Jederzeit (on-demand)</x:v>
      </x:c>
      <x:c r="I73" s="35" t="str">
        <x:v>Online</x:v>
      </x:c>
      <x:c r="J73" s="35" t="str">
        <x:v>Kauf möglich</x:v>
      </x:c>
      <x:c r="K73" s="35" t="str">
        <x:v>https://smartnetacademy.com/courses/ai-for-managers-course-lead-ai-strategy-teams-and-innovation-without-coding/</x:v>
      </x:c>
      <x:c r="L73" s="35" t="str">
        <x:v>Aktiver, nicht-technischer Managementkurs mit Fokus auf AI-Teams und Umsetzung.</x:v>
      </x:c>
      <x:c r="M73" s="35" t="str">
        <x:v>15.07.2026</x:v>
      </x:c>
      <x:c r="N73" s="49" t="str">
        <x:v>Ersatz für nicht mehr vorhandenen Kurs</x:v>
      </x:c>
    </x:row>
    <x:row r="74">
      <x:c r="A74" s="35" t="str">
        <x:v>Team &amp; Leadership Skills</x:v>
      </x:c>
      <x:c r="B74" s="35" t="str">
        <x:v>Führung des Executive Teams</x:v>
      </x:c>
      <x:c r="C74" s="35" t="str">
        <x:v>AI-gestützte Führung und Entscheidungsprozesse gestalten</x:v>
      </x:c>
      <x:c r="D74" s="35" t="str">
        <x:v>Neu</x:v>
      </x:c>
      <x:c r="E74" s="35" t="str">
        <x:v>Stanford Online</x:v>
      </x:c>
      <x:c r="F74" s="35" t="str">
        <x:v>AI-Driven Leadership: Strategies for the Future</x:v>
      </x:c>
      <x:c r="G74" s="49" t="str">
        <x:v>Aktuell</x:v>
      </x:c>
      <x:c r="H74" s="35" t="str">
        <x:v>Online / nach Anbieterplanung</x:v>
      </x:c>
      <x:c r="I74" s="35" t="str">
        <x:v>Online</x:v>
      </x:c>
      <x:c r="J74" s="35" t="str">
        <x:v>Kursseite aktiv</x:v>
      </x:c>
      <x:c r="K74" s="35" t="str">
        <x:v>https://online.stanford.edu/courses/xgal0002-ai-driven-leadership-strategies-future</x:v>
      </x:c>
      <x:c r="L74" s="35" t="str">
        <x:v>Führung, Strategie und organisatorische Anpassung im AI-Zeitalter.</x:v>
      </x:c>
      <x:c r="M74" s="35" t="str">
        <x:v>15.07.2026</x:v>
      </x:c>
      <x:c r="N74" s="67" t="str">
        <x:v>Neu recherchiert</x:v>
      </x:c>
    </x:row>
    <x:row r="75">
      <x:c r="A75" s="35" t="str">
        <x:v>Team &amp; Leadership Skills</x:v>
      </x:c>
      <x:c r="B75" s="35" t="str">
        <x:v>Führung des Executive Teams</x:v>
      </x:c>
      <x:c r="C75" s="35" t="str">
        <x:v>AI-Potenziale in Teams und Organisationen identifizieren und umsetzen</x:v>
      </x:c>
      <x:c r="D75" s="35" t="str">
        <x:v>Neu</x:v>
      </x:c>
      <x:c r="E75" s="35" t="str">
        <x:v>MIT Sloan Executive Education</x:v>
      </x:c>
      <x:c r="F75" s="35" t="str">
        <x:v>Leading the AI-Driven Organization</x:v>
      </x:c>
      <x:c r="G75" s="49" t="str">
        <x:v>Aktuell</x:v>
      </x:c>
      <x:c r="H75" s="35" t="str">
        <x:v>Nächste Termine laut Anbieter</x:v>
      </x:c>
      <x:c r="I75" s="35" t="str">
        <x:v>Executive Education</x:v>
      </x:c>
      <x:c r="J75" s="35" t="str">
        <x:v>Anmeldung / Terminauswahl</x:v>
      </x:c>
      <x:c r="K75" s="35" t="str">
        <x:v>https://executive.mit.edu/course/leading-the-ai-driven-organization/a054v00000r9U5cAAE.html</x:v>
      </x:c>
      <x:c r="L75" s="35" t="str">
        <x:v>Executive-Kurs zur Führung AI-getriebener Organisationen.</x:v>
      </x:c>
      <x:c r="M75" s="35" t="str">
        <x:v>15.07.2026</x:v>
      </x:c>
      <x:c r="N75" s="67" t="str">
        <x:v>Neu recherchiert</x:v>
      </x:c>
    </x:row>
    <x:row r="76">
      <x:c r="A76" s="35" t="str">
        <x:v>Team &amp; Leadership Skills</x:v>
      </x:c>
      <x:c r="B76" s="35" t="str">
        <x:v>Talent- &amp; Nachfolgeplanung</x:v>
      </x:c>
      <x:c r="C76" s="35" t="str">
        <x:v>Human Capital, Rollen und Organisationsdesign im AI-Zeitalter ausrichten</x:v>
      </x:c>
      <x:c r="D76" s="35" t="str">
        <x:v>Neu</x:v>
      </x:c>
      <x:c r="E76" s="35" t="str">
        <x:v>INSEAD</x:v>
      </x:c>
      <x:c r="F76" s="35" t="str">
        <x:v>Human Capital in the Age of AI</x:v>
      </x:c>
      <x:c r="G76" s="49" t="str">
        <x:v>Aktuell</x:v>
      </x:c>
      <x:c r="H76" s="35" t="str">
        <x:v>Termine laut Anbieter</x:v>
      </x:c>
      <x:c r="I76" s="35" t="str">
        <x:v>Executive Education</x:v>
      </x:c>
      <x:c r="J76" s="35" t="str">
        <x:v>Programmseite aktiv</x:v>
      </x:c>
      <x:c r="K76" s="35" t="str">
        <x:v>https://www.insead.edu/executive-education/top-management/human-capital-age-ai</x:v>
      </x:c>
      <x:c r="L76" s="35" t="str">
        <x:v>Fokus auf Workforce, Talente und Organisationsgestaltung mit AI.</x:v>
      </x:c>
      <x:c r="M76" s="35" t="str">
        <x:v>15.07.2026</x:v>
      </x:c>
      <x:c r="N76" s="67" t="str">
        <x:v>Neu recherchiert</x:v>
      </x:c>
    </x:row>
    <x:row r="77">
      <x:c r="A77" s="59" t="str">
        <x:v>Platform &amp; Strategic Tool Skills</x:v>
      </x:c>
      <x:c r="B77" s="52" t="str">
        <x:v>Kenntnis zentraler Enterprise-Plattformen (SAP, Salesforce, Microsoft)</x:v>
      </x:c>
      <x:c r="C77" s="52" t="str">
        <x:v>Kenntnis der wichtigsten Cloud- &amp; AI-Plattformen (AWS, Azure, GCP)</x:v>
      </x:c>
      <x:c r="D77" s="52" t="str">
        <x:v>Erweitert</x:v>
      </x:c>
      <x:c r="E77" s="52" t="str">
        <x:v>AWS Skill Builder</x:v>
      </x:c>
      <x:c r="F77" s="52" t="str">
        <x:v>AWS Machine Learning Foundations</x:v>
      </x:c>
      <x:c r="G77" s="53" t="str">
        <x:v>Aktuell</x:v>
      </x:c>
      <x:c r="H77" s="52" t="str">
        <x:v>Jederzeit (selbstgesteuert)</x:v>
      </x:c>
      <x:c r="I77" s="52" t="str">
        <x:v>Online</x:v>
      </x:c>
      <x:c r="J77" s="52" t="str">
        <x:v>Über AWS Skill Builder</x:v>
      </x:c>
      <x:c r="K77" s="52" t="str">
        <x:v>https://aws.amazon.com/training/digital/aws-machine-learning-foundations/</x:v>
      </x:c>
      <x:c r="L77" s="52" t="str">
        <x:v>Direkter Link technisch nicht abrufbar; AWS referenziert den Kurs weiterhin in aktuellen Lernressourcen.</x:v>
      </x:c>
      <x:c r="M77" s="52" t="str">
        <x:v>30.06.2026</x:v>
      </x:c>
      <x:c r="N77" s="54" t="str">
        <x:v>Bestand aus Prüftabelle 30.06.2026</x:v>
      </x:c>
    </x:row>
    <x:row r="78">
      <x:c r="A78" s="35" t="str">
        <x:v>Platform &amp; Strategic Tool Skills</x:v>
      </x:c>
      <x:c r="B78" s="35" t="str">
        <x:v>Kenntnis zentraler Enterprise-Plattformen (SAP, Salesforce, Microsoft)</x:v>
      </x:c>
      <x:c r="C78" s="35" t="str">
        <x:v>Kenntnis der wichtigsten Cloud- &amp; AI-Plattformen (AWS, Azure, GCP)</x:v>
      </x:c>
      <x:c r="D78" s="35" t="str">
        <x:v>Erweitert</x:v>
      </x:c>
      <x:c r="E78" s="35" t="str">
        <x:v>Google Cloud</x:v>
      </x:c>
      <x:c r="F78" s="35" t="str">
        <x:v>Cloud Digital Leader Learning Path</x:v>
      </x:c>
      <x:c r="G78" s="49" t="str">
        <x:v>Aktuell</x:v>
      </x:c>
      <x:c r="H78" s="35" t="str">
        <x:v>Jederzeit (on-demand)</x:v>
      </x:c>
      <x:c r="I78" s="35" t="str">
        <x:v>Online</x:v>
      </x:c>
      <x:c r="J78" s="35" t="str">
        <x:v>Lernpfad aktiv</x:v>
      </x:c>
      <x:c r="K78" s="35" t="str">
        <x:v>https://www.cloudskillsboost.google/paths/9</x:v>
      </x:c>
      <x:c r="L78" s="35" t="str">
        <x:v>Grundlagen zu Cloud-Produkten, Services und geschäftlichem Nutzen.</x:v>
      </x:c>
      <x:c r="M78" s="35" t="str">
        <x:v>15.07.2026</x:v>
      </x:c>
      <x:c r="N78" s="49" t="str">
        <x:v>Ersatz für nicht mehr vorhandenen Kurs</x:v>
      </x:c>
    </x:row>
    <x:row r="79">
      <x:c r="A79" s="35" t="str">
        <x:v>Platform &amp; Strategic Tool Skills</x:v>
      </x:c>
      <x:c r="B79" s="35" t="str">
        <x:v>Kenntnis zentraler Enterprise-Plattformen (SAP, Salesforce, Microsoft)</x:v>
      </x:c>
      <x:c r="C79" s="35" t="str">
        <x:v>Kenntnis der wichtigsten Cloud- &amp; AI-Plattformen (AWS, Azure, GCP)</x:v>
      </x:c>
      <x:c r="D79" s="35" t="str">
        <x:v>Erweitert</x:v>
      </x:c>
      <x:c r="E79" s="35" t="str">
        <x:v>Microsoft Learn</x:v>
      </x:c>
      <x:c r="F79" s="35" t="str">
        <x:v>Get to know Microsoft Azure cloud platform for business professionals</x:v>
      </x:c>
      <x:c r="G79" s="49" t="str">
        <x:v>Aktuell</x:v>
      </x:c>
      <x:c r="H79" s="35" t="str">
        <x:v>Jederzeit (selbstgesteuert)</x:v>
      </x:c>
      <x:c r="I79" s="35" t="str">
        <x:v>Online</x:v>
      </x:c>
      <x:c r="J79" s="35" t="str">
        <x:v>Kostenloser Lernpfad</x:v>
      </x:c>
      <x:c r="K79" s="35" t="str">
        <x:v>https://learn.microsoft.com/en-us/training/paths/get-know-microsoft-azure-cloud-platform-business-professionals/</x:v>
      </x:c>
      <x:c r="L79" s="35" t="str">
        <x:v>Cloud-Grundlagen für Business Professionals ohne technische Vorkenntnisse.</x:v>
      </x:c>
      <x:c r="M79" s="35" t="str">
        <x:v>15.07.2026</x:v>
      </x:c>
      <x:c r="N79" s="49" t="str">
        <x:v>Ersatz für nicht mehr vorhandenen Kurs</x:v>
      </x:c>
    </x:row>
    <x:row r="80">
      <x:c r="A80" s="35" t="str">
        <x:v>Platform &amp; Strategic Tool Skills</x:v>
      </x:c>
      <x:c r="B80" s="35" t="str">
        <x:v>Kenntnis zentraler Enterprise-Plattformen (SAP, Salesforce, Microsoft)</x:v>
      </x:c>
      <x:c r="C80" s="35" t="str">
        <x:v>Kenntnis der wichtigsten Cloud- &amp; AI-Plattformen (AWS, Azure, GCP)</x:v>
      </x:c>
      <x:c r="D80" s="35" t="str">
        <x:v>Erweitert</x:v>
      </x:c>
      <x:c r="E80" s="35" t="str">
        <x:v>Microsoft Learn</x:v>
      </x:c>
      <x:c r="F80" s="35" t="str">
        <x:v>Introduction to AI in Azure (AI-901T00)</x:v>
      </x:c>
      <x:c r="G80" s="49" t="str">
        <x:v>Aktuell</x:v>
      </x:c>
      <x:c r="H80" s="35" t="str">
        <x:v>Jederzeit / Termine über Trainingspartner</x:v>
      </x:c>
      <x:c r="I80" s="35" t="str">
        <x:v>Online oder Instructor-led</x:v>
      </x:c>
      <x:c r="J80" s="35" t="str">
        <x:v>Aktueller Nachfolgekurs</x:v>
      </x:c>
      <x:c r="K80" s="35" t="str">
        <x:v>https://learn.microsoft.com/en-us/training/courses/ai-901t00</x:v>
      </x:c>
      <x:c r="L80" s="35" t="str">
        <x:v>AI-901 ersetzt den früheren AI-900-Lernpfad.</x:v>
      </x:c>
      <x:c r="M80" s="35" t="str">
        <x:v>15.07.2026</x:v>
      </x:c>
      <x:c r="N80" s="49" t="str">
        <x:v>Ersatz für nicht mehr vorhandenen Kurs</x:v>
      </x:c>
    </x:row>
    <x:row r="81">
      <x:c r="A81" s="35" t="str">
        <x:v>Platform &amp; Strategic Tool Skills</x:v>
      </x:c>
      <x:c r="B81" s="35" t="str">
        <x:v>Kenntnis zentraler Enterprise-Plattformen (SAP, Salesforce, Microsoft)</x:v>
      </x:c>
      <x:c r="C81" s="35" t="str">
        <x:v>Kenntnis der wichtigsten Cloud- &amp; AI-Plattformen (AWS, Azure, GCP)</x:v>
      </x:c>
      <x:c r="D81" s="35" t="str">
        <x:v>Erweitert</x:v>
      </x:c>
      <x:c r="E81" s="35" t="str">
        <x:v>Coursera / Google Cloud</x:v>
      </x:c>
      <x:c r="F81" s="35" t="str">
        <x:v>Machine Learning on Google Cloud Specialization</x:v>
      </x:c>
      <x:c r="G81" s="49" t="str">
        <x:v>Aktuell</x:v>
      </x:c>
      <x:c r="H81" s="35" t="str">
        <x:v>Jederzeit (flexibel)</x:v>
      </x:c>
      <x:c r="I81" s="35" t="str">
        <x:v>Online</x:v>
      </x:c>
      <x:c r="J81" s="35" t="str">
        <x:v>Einschreibung möglich</x:v>
      </x:c>
      <x:c r="K81" s="35" t="str">
        <x:v>https://www.coursera.org/specializations/machine-learning-tensorflow-gcp</x:v>
      </x:c>
      <x:c r="L81" s="35" t="str">
        <x:v>Aktive Google-Cloud-Spezialisierung zu Machine Learning und AI.</x:v>
      </x:c>
      <x:c r="M81" s="35" t="str">
        <x:v>15.07.2026</x:v>
      </x:c>
      <x:c r="N81" s="49" t="str">
        <x:v>Ersatz für nicht mehr vorhandenen Kurs</x:v>
      </x:c>
    </x:row>
    <x:row r="82">
      <x:c r="A82" s="35" t="str">
        <x:v>Platform &amp; Strategic Tool Skills</x:v>
      </x:c>
      <x:c r="B82" s="35" t="str">
        <x:v>Kosten-, Risiko- &amp; Abhängigkeit Bewertung</x:v>
      </x:c>
      <x:c r="C82" s="35" t="str">
        <x:v>Bewertung von Plattformen in Bezug auf Skalierbarkeit, Kosten, Risiko &amp; ROI</x:v>
      </x:c>
      <x:c r="D82" s="35" t="str">
        <x:v>Existent/Erweitert</x:v>
      </x:c>
      <x:c r="E82" s="35" t="str">
        <x:v>ESMT Berlin</x:v>
      </x:c>
      <x:c r="F82" s="35" t="str">
        <x:v>Data Strategy for Enterprise AI</x:v>
      </x:c>
      <x:c r="G82" s="49" t="str">
        <x:v>Aktuell</x:v>
      </x:c>
      <x:c r="H82" s="35" t="str">
        <x:v>10.–11.12.2026</x:v>
      </x:c>
      <x:c r="I82" s="35" t="str">
        <x:v>Präsenz – Berlin</x:v>
      </x:c>
      <x:c r="J82" s="35" t="str">
        <x:v>Programmseite und Termin aktiv</x:v>
      </x:c>
      <x:c r="K82" s="35" t="str">
        <x:v>https://esmt.berlin/executive-education/analytics-ai-programs/data-strategy</x:v>
      </x:c>
      <x:c r="L82" s="35" t="str">
        <x:v>Bewertung von Daten- und Plattformstrategien für skalierbare Enterprise-AI.</x:v>
      </x:c>
      <x:c r="M82" s="35" t="str">
        <x:v>15.07.2026</x:v>
      </x:c>
      <x:c r="N82" s="49" t="str">
        <x:v>Ersatz für nicht mehr vorhandenen Kurs</x:v>
      </x:c>
    </x:row>
    <x:row r="83">
      <x:c r="A83" s="35" t="str">
        <x:v>Platform &amp; Strategic Tool Skills</x:v>
      </x:c>
      <x:c r="B83" s="35" t="str">
        <x:v>Kosten-, Risiko- &amp; Abhängigkeit Bewertung</x:v>
      </x:c>
      <x:c r="C83" s="35" t="str">
        <x:v>Bewertung von Plattformen in Bezug auf Skalierbarkeit, Kosten, Risiko &amp; ROI</x:v>
      </x:c>
      <x:c r="D83" s="35" t="str">
        <x:v>Existent/Erweitert</x:v>
      </x:c>
      <x:c r="E83" s="35" t="str">
        <x:v>AWS</x:v>
      </x:c>
      <x:c r="F83" s="35" t="str">
        <x:v>AI for Business Leaders</x:v>
      </x:c>
      <x:c r="G83" s="49" t="str">
        <x:v>Aktuell</x:v>
      </x:c>
      <x:c r="H83" s="35" t="str">
        <x:v>Jederzeit / Lernangebote nach Format</x:v>
      </x:c>
      <x:c r="I83" s="35" t="str">
        <x:v>Online</x:v>
      </x:c>
      <x:c r="J83" s="35" t="str">
        <x:v>Aktuelles Lernportal</x:v>
      </x:c>
      <x:c r="K83" s="35" t="str">
        <x:v>https://aws.amazon.com/ai/learn/organizational-leader/</x:v>
      </x:c>
      <x:c r="L83" s="35" t="str">
        <x:v>Lernangebote für Entscheider zur Bewertung und Einführung von AI-Lösungen.</x:v>
      </x:c>
      <x:c r="M83" s="35" t="str">
        <x:v>15.07.2026</x:v>
      </x:c>
      <x:c r="N83" s="49" t="str">
        <x:v>Ersatz für nicht mehr vorhandenen Kurs</x:v>
      </x:c>
    </x:row>
    <x:row r="84">
      <x:c r="A84" s="35" t="str">
        <x:v>Platform &amp; Strategic Tool Skills</x:v>
      </x:c>
      <x:c r="B84" s="35" t="str">
        <x:v>Kosten-, Risiko- &amp; Abhängigkeit Bewertung</x:v>
      </x:c>
      <x:c r="C84" s="35" t="str">
        <x:v>Bewertung von Plattformen in Bezug auf Skalierbarkeit, Kosten, Risiko &amp; ROI</x:v>
      </x:c>
      <x:c r="D84" s="35" t="str">
        <x:v>Existent/Erweitert</x:v>
      </x:c>
      <x:c r="E84" s="35" t="str">
        <x:v>Coursera</x:v>
      </x:c>
      <x:c r="F84" s="35" t="str">
        <x:v>Optimizing AI System Operations and Costs</x:v>
      </x:c>
      <x:c r="G84" s="49" t="str">
        <x:v>Aktuell</x:v>
      </x:c>
      <x:c r="H84" s="35" t="str">
        <x:v>Jederzeit (flexibel)</x:v>
      </x:c>
      <x:c r="I84" s="35" t="str">
        <x:v>Online</x:v>
      </x:c>
      <x:c r="J84" s="35" t="str">
        <x:v>Einschreibung möglich</x:v>
      </x:c>
      <x:c r="K84" s="35" t="str">
        <x:v>https://www.coursera.org/learn/optimizing-ai-system-operations-and-costs</x:v>
      </x:c>
      <x:c r="L84" s="35" t="str">
        <x:v>Fokus auf Betriebskosten, Skalierung und Wirtschaftlichkeit von AI-Systemen.</x:v>
      </x:c>
      <x:c r="M84" s="35" t="str">
        <x:v>15.07.2026</x:v>
      </x:c>
      <x:c r="N84" s="49" t="str">
        <x:v>Ersatz für nicht mehr vorhandenen Kurs</x:v>
      </x:c>
    </x:row>
    <x:row r="85">
      <x:c r="A85" s="35" t="str">
        <x:v>Platform &amp; Strategic Tool Skills</x:v>
      </x:c>
      <x:c r="B85" s="35" t="str">
        <x:v>Kenntnis zentraler Enterprise-Plattformen (SAP, Salesforce, Microsoft)</x:v>
      </x:c>
      <x:c r="C85" s="35" t="str">
        <x:v>SAP Business AI und Einbettung in Enterprise-Prozesse strategisch einordnen</x:v>
      </x:c>
      <x:c r="D85" s="35" t="str">
        <x:v>Neu</x:v>
      </x:c>
      <x:c r="E85" s="35" t="str">
        <x:v>SAP Learning</x:v>
      </x:c>
      <x:c r="F85" s="35" t="str">
        <x:v>Positioning SAP Business AI</x:v>
      </x:c>
      <x:c r="G85" s="49" t="str">
        <x:v>Aktuell</x:v>
      </x:c>
      <x:c r="H85" s="35" t="str">
        <x:v>Jederzeit (selbstgesteuert)</x:v>
      </x:c>
      <x:c r="I85" s="35" t="str">
        <x:v>Online</x:v>
      </x:c>
      <x:c r="J85" s="35" t="str">
        <x:v>Kostenloser Learning Journey</x:v>
      </x:c>
      <x:c r="K85" s="35" t="str">
        <x:v>https://learning.sap.com/learning-journeys/positioning-sap-business-ai-1</x:v>
      </x:c>
      <x:c r="L85" s="35" t="str">
        <x:v>Business-Fokus auf Nutzen und Positionierung von SAP Business AI.</x:v>
      </x:c>
      <x:c r="M85" s="35" t="str">
        <x:v>15.07.2026</x:v>
      </x:c>
      <x:c r="N85" s="67" t="str">
        <x:v>Neu recherchiert</x:v>
      </x:c>
    </x:row>
    <x:row r="86">
      <x:c r="A86" s="35" t="str">
        <x:v>Platform &amp; Strategic Tool Skills</x:v>
      </x:c>
      <x:c r="B86" s="35" t="str">
        <x:v>Kenntnis der wichtigsten Cloud- &amp; AI-Plattformen</x:v>
      </x:c>
      <x:c r="C86" s="35" t="str">
        <x:v>Google-Cloud- und Generative-AI-Angebote für Transformation bewerten</x:v>
      </x:c>
      <x:c r="D86" s="35" t="str">
        <x:v>Neu</x:v>
      </x:c>
      <x:c r="E86" s="35" t="str">
        <x:v>Google Cloud Skills Boost</x:v>
      </x:c>
      <x:c r="F86" s="35" t="str">
        <x:v>Generative AI Leader Learning Path</x:v>
      </x:c>
      <x:c r="G86" s="49" t="str">
        <x:v>Aktuell</x:v>
      </x:c>
      <x:c r="H86" s="35" t="str">
        <x:v>Jederzeit (on-demand)</x:v>
      </x:c>
      <x:c r="I86" s="35" t="str">
        <x:v>Online</x:v>
      </x:c>
      <x:c r="J86" s="35" t="str">
        <x:v>Lernpfad aktiv</x:v>
      </x:c>
      <x:c r="K86" s="35" t="str">
        <x:v>https://www.cloudskillsboost.google/paths/1951</x:v>
      </x:c>
      <x:c r="L86" s="35" t="str">
        <x:v>Nicht-technischer Lernpfad für Führungskräfte und Transformation.</x:v>
      </x:c>
      <x:c r="M86" s="35" t="str">
        <x:v>15.07.2026</x:v>
      </x:c>
      <x:c r="N86" s="67" t="str">
        <x:v>Neu recherchiert</x:v>
      </x:c>
    </x:row>
    <x:row r="87">
      <x:c r="A87" s="35" t="str">
        <x:v>Platform &amp; Strategic Tool Skills</x:v>
      </x:c>
      <x:c r="B87" s="35" t="str">
        <x:v>Kenntnis zentraler Enterprise-Plattformen (SAP, Salesforce, Microsoft)</x:v>
      </x:c>
      <x:c r="C87" s="35" t="str">
        <x:v>Agentforce-Funktionen, Business Impact und Einsatzfälle verstehen</x:v>
      </x:c>
      <x:c r="D87" s="35" t="str">
        <x:v>Neu</x:v>
      </x:c>
      <x:c r="E87" s="35" t="str">
        <x:v>Salesforce Trailhead</x:v>
      </x:c>
      <x:c r="F87" s="35" t="str">
        <x:v>Become an Agentblazer Champion 2026</x:v>
      </x:c>
      <x:c r="G87" s="49" t="str">
        <x:v>Aktuell</x:v>
      </x:c>
      <x:c r="H87" s="35" t="str">
        <x:v>Jederzeit (selbstgesteuert)</x:v>
      </x:c>
      <x:c r="I87" s="35" t="str">
        <x:v>Online</x:v>
      </x:c>
      <x:c r="J87" s="35" t="str">
        <x:v>Kostenloser Trail</x:v>
      </x:c>
      <x:c r="K87" s="35" t="str">
        <x:v>https://trailhead.salesforce.com/content/learn/trails/become-an-agentblazer-champion-2026</x:v>
      </x:c>
      <x:c r="L87" s="35" t="str">
        <x:v>Aktueller 2026-Lernpfad zu Salesforce Agentforce und AI-Agenten.</x:v>
      </x:c>
      <x:c r="M87" s="35" t="str">
        <x:v>15.07.2026</x:v>
      </x:c>
      <x:c r="N87" s="67" t="str">
        <x:v>Neu recherchiert</x:v>
      </x:c>
    </x:row>
    <x:row r="88">
      <x:c r="A88" s="59" t="str">
        <x:v>Soft Skills</x:v>
      </x:c>
      <x:c r="B88" s="52" t="str">
        <x:v>Ethik- &amp; Werteorientierung</x:v>
      </x:c>
      <x:c r="C88" s="52" t="str">
        <x:v>Aktive Verantwortung für AI-Ethik, Fairness und Transparenz</x:v>
      </x:c>
      <x:c r="D88" s="52" t="str">
        <x:v>Neu</x:v>
      </x:c>
      <x:c r="E88" s="52" t="str">
        <x:v>KI-Campus</x:v>
      </x:c>
      <x:c r="F88" s="52" t="str">
        <x:v>Die fünf Säulen der KI-Ethik</x:v>
      </x:c>
      <x:c r="G88" s="53" t="str">
        <x:v>Aktuell</x:v>
      </x:c>
      <x:c r="H88" s="52" t="str">
        <x:v>Jederzeit (selbstgesteuert)</x:v>
      </x:c>
      <x:c r="I88" s="52" t="str">
        <x:v>Online</x:v>
      </x:c>
      <x:c r="J88" s="52" t="str">
        <x:v>Kostenlos einschreibbar</x:v>
      </x:c>
      <x:c r="K88" s="52" t="str">
        <x:v>https://ki-campus.org/lernangebote/kurse/ki-ethik</x:v>
      </x:c>
      <x:c r="L88" s="52" t="str">
        <x:v>2,5 Stunden, deutsch, ohne Vorkenntnisse.</x:v>
      </x:c>
      <x:c r="M88" s="52" t="str">
        <x:v>30.06.2026</x:v>
      </x:c>
      <x:c r="N88" s="54" t="str">
        <x:v>Bestand aus Prüftabelle 30.06.2026</x:v>
      </x:c>
    </x:row>
    <x:row r="89">
      <x:c r="A89" s="35" t="str">
        <x:v>Soft Skills</x:v>
      </x:c>
      <x:c r="B89" s="35" t="str">
        <x:v>Entscheidungsstärke unter Unsicherheit</x:v>
      </x:c>
      <x:c r="C89" s="35" t="str">
        <x:v>Entscheidungsfindung auf Basis probabilistischer AI-Ergebnisse &amp; Szenarien</x:v>
      </x:c>
      <x:c r="D89" s="35" t="str">
        <x:v>Erweitert</x:v>
      </x:c>
      <x:c r="E89" s="35" t="str">
        <x:v>Coursera</x:v>
      </x:c>
      <x:c r="F89" s="35" t="str">
        <x:v>AI for Executives (Course 2)</x:v>
      </x:c>
      <x:c r="G89" s="49" t="str">
        <x:v>Aktuell</x:v>
      </x:c>
      <x:c r="H89" s="35" t="str">
        <x:v>Jederzeit / flexibler Zeitplan</x:v>
      </x:c>
      <x:c r="I89" s="35" t="str">
        <x:v>Online</x:v>
      </x:c>
      <x:c r="J89" s="35" t="str">
        <x:v>Einschreibung möglich</x:v>
      </x:c>
      <x:c r="K89" s="35" t="str">
        <x:v>https://www.coursera.org/learn/ai-for-executives-course-2</x:v>
      </x:c>
      <x:c r="L89" s="35" t="str">
        <x:v>Kursseite aktiv; Seite zeigte einen rollierenden Starttermin.</x:v>
      </x:c>
      <x:c r="M89" s="35" t="str">
        <x:v>30.06.2026</x:v>
      </x:c>
      <x:c r="N89" s="35" t="str">
        <x:v>Bestand aus Prüftabelle 30.06.2026</x:v>
      </x:c>
    </x:row>
    <x:row r="90">
      <x:c r="A90" s="35" t="str">
        <x:v>Soft Skills</x:v>
      </x:c>
      <x:c r="B90" s="35" t="str">
        <x:v>Strategisches Urteilsvermögen</x:v>
      </x:c>
      <x:c r="C90" s="35" t="str">
        <x:v>Bewertung komplexer Mensch–Maschine-Systeme und langfristiger AI-Auswirkungen</x:v>
      </x:c>
      <x:c r="D90" s="35" t="str">
        <x:v>Erweitert</x:v>
      </x:c>
      <x:c r="E90" s="35" t="str">
        <x:v>ESMT Berlin</x:v>
      </x:c>
      <x:c r="F90" s="35" t="str">
        <x:v>AI Executive Certificate</x:v>
      </x:c>
      <x:c r="G90" s="49" t="str">
        <x:v>Aktuell</x:v>
      </x:c>
      <x:c r="H90" s="35" t="str">
        <x:v>Ab 09/2026 (programmbausteinabhängig)</x:v>
      </x:c>
      <x:c r="I90" s="35" t="str">
        <x:v>Vor Ort Berlin + online (programmbausteinabhängig)</x:v>
      </x:c>
      <x:c r="J90" s="35" t="str">
        <x:v>Programm aktiv; einzelne Termine bzw. Anfrage</x:v>
      </x:c>
      <x:c r="K90" s="35" t="str">
        <x:v>https://esmt.berlin/executive-education/analytics-ai/ai-executive-certificate</x:v>
      </x:c>
      <x:c r="L90" s="35" t="str">
        <x:v>Zertifikat aus mehreren Programmen; konkrete Starts hängen vom gewählten Baustein ab.</x:v>
      </x:c>
      <x:c r="M90" s="35" t="str">
        <x:v>30.06.2026</x:v>
      </x:c>
      <x:c r="N90" s="35" t="str">
        <x:v>Bestand aus Prüftabelle 30.06.2026</x:v>
      </x:c>
    </x:row>
    <x:row r="91">
      <x:c r="A91" s="35" t="str">
        <x:v>Soft Skills</x:v>
      </x:c>
      <x:c r="B91" s="35" t="str">
        <x:v>Kommunikationsfähigkeit</x:v>
      </x:c>
      <x:c r="C91" s="35" t="str">
        <x:v>Übersetzung von AI-gestützten Entscheidungen in verständliche Narrative für Stakeholder</x:v>
      </x:c>
      <x:c r="D91" s="35" t="str">
        <x:v>Erweitert</x:v>
      </x:c>
      <x:c r="E91" s="35" t="str">
        <x:v>ESMT Berlin</x:v>
      </x:c>
      <x:c r="F91" s="35" t="str">
        <x:v>Analytics &amp; AI Executive Programs (Programmübersicht)</x:v>
      </x:c>
      <x:c r="G91" s="49" t="str">
        <x:v>Aktuell</x:v>
      </x:c>
      <x:c r="H91" s="35" t="str">
        <x:v>Unterschiedlich je Programm</x:v>
      </x:c>
      <x:c r="I91" s="35" t="str">
        <x:v>Vor Ort Berlin und online</x:v>
      </x:c>
      <x:c r="J91" s="35" t="str">
        <x:v>Programmübersicht aktiv</x:v>
      </x:c>
      <x:c r="K91" s="35" t="str">
        <x:v>https://esmt.berlin/executive-education/analytics-ai-programs</x:v>
      </x:c>
      <x:c r="L91" s="35" t="str">
        <x:v>Kein Einzelkurs; Übersicht mit mehreren AI-/Analytics-Programmen.</x:v>
      </x:c>
      <x:c r="M91" s="35" t="str">
        <x:v>30.06.2026</x:v>
      </x:c>
      <x:c r="N91" s="35" t="str">
        <x:v>Bestand aus Prüftabelle 30.06.2026</x:v>
      </x:c>
    </x:row>
    <x:row r="92">
      <x:c r="A92" s="35" t="str">
        <x:v>Soft Skills</x:v>
      </x:c>
      <x:c r="B92" s="35" t="str">
        <x:v>Krisen- &amp; Resilienzfähigkeit</x:v>
      </x:c>
      <x:c r="C92" s="35" t="str">
        <x:v>Umgang mit AI-Fehlentscheidungen, Modellrisiken und Reputationskrisen</x:v>
      </x:c>
      <x:c r="D92" s="35" t="str">
        <x:v>Erweitert</x:v>
      </x:c>
      <x:c r="E92" s="35" t="str">
        <x:v>TrainingCred</x:v>
      </x:c>
      <x:c r="F92" s="35" t="str">
        <x:v>AI Risk Management &amp; Mitigation Training</x:v>
      </x:c>
      <x:c r="G92" s="49" t="str">
        <x:v>Aktuell</x:v>
      </x:c>
      <x:c r="H92" s="35" t="str">
        <x:v>18.07.2026</x:v>
      </x:c>
      <x:c r="I92" s="35" t="str">
        <x:v>Online; Classroom-Option verfügbar</x:v>
      </x:c>
      <x:c r="J92" s="35" t="str">
        <x:v>Mehrere Termine sichtbar</x:v>
      </x:c>
      <x:c r="K92" s="35" t="str">
        <x:v>https://trainingcred.com/de/training-course/ai-risk-management-mitigation-training</x:v>
      </x:c>
      <x:c r="L92" s="35" t="str">
        <x:v>Weitere sichtbare Starts: 27.07. und 10.08.2026.</x:v>
      </x:c>
      <x:c r="M92" s="35" t="str">
        <x:v>30.06.2026</x:v>
      </x:c>
      <x:c r="N92" s="35" t="str">
        <x:v>Bestand aus Prüftabelle 30.06.2026</x:v>
      </x:c>
    </x:row>
    <x:row r="93">
      <x:c r="A93" s="35" t="str">
        <x:v>Soft Skills</x:v>
      </x:c>
      <x:c r="B93" s="35" t="str">
        <x:v>Ethik- &amp; Werteorientierung</x:v>
      </x:c>
      <x:c r="C93" s="35" t="str">
        <x:v>Ethische Konflikte und Verantwortlichkeiten strukturiert bewerten</x:v>
      </x:c>
      <x:c r="D93" s="35" t="str">
        <x:v>Neu</x:v>
      </x:c>
      <x:c r="E93" s="35" t="str">
        <x:v>Harvard Business School Online</x:v>
      </x:c>
      <x:c r="F93" s="35" t="str">
        <x:v>Leadership, Ethics, and Corporate Accountability</x:v>
      </x:c>
      <x:c r="G93" s="49" t="str">
        <x:v>Aktuell</x:v>
      </x:c>
      <x:c r="H93" s="35" t="str">
        <x:v>Nächste Kohorte ab 13.08.2026</x:v>
      </x:c>
      <x:c r="I93" s="35" t="str">
        <x:v>Online – 6 Wochen</x:v>
      </x:c>
      <x:c r="J93" s="35" t="str">
        <x:v>Anmeldung möglich</x:v>
      </x:c>
      <x:c r="K93" s="35" t="str">
        <x:v>https://online.hbs.edu/courses/leadership-ethics-corporate-accountability</x:v>
      </x:c>
      <x:c r="L93" s="35" t="str">
        <x:v>Ethik, Verantwortung und Stakeholder-Entscheidungen für Führungskräfte.</x:v>
      </x:c>
      <x:c r="M93" s="35" t="str">
        <x:v>15.07.2026</x:v>
      </x:c>
      <x:c r="N93" s="67" t="str">
        <x:v>Neu recherchiert</x:v>
      </x:c>
    </x:row>
    <x:row r="94">
      <x:c r="A94" s="35" t="str">
        <x:v>Soft Skills</x:v>
      </x:c>
      <x:c r="B94" s="35" t="str">
        <x:v>Entscheidungsstärke unter Unsicherheit</x:v>
      </x:c>
      <x:c r="C94" s="35" t="str">
        <x:v>Komplexe Entscheidungen evidenzbasiert und strukturiert treffen</x:v>
      </x:c>
      <x:c r="D94" s="35" t="str">
        <x:v>Neu</x:v>
      </x:c>
      <x:c r="E94" s="35" t="str">
        <x:v>Stanford Online</x:v>
      </x:c>
      <x:c r="F94" s="35" t="str">
        <x:v>Making High-Quality Decisions</x:v>
      </x:c>
      <x:c r="G94" s="49" t="str">
        <x:v>Aktuell</x:v>
      </x:c>
      <x:c r="H94" s="35" t="str">
        <x:v>Online / nach Anbieterplanung</x:v>
      </x:c>
      <x:c r="I94" s="35" t="str">
        <x:v>Online</x:v>
      </x:c>
      <x:c r="J94" s="35" t="str">
        <x:v>Kursseite aktiv</x:v>
      </x:c>
      <x:c r="K94" s="35" t="str">
        <x:v>https://online.stanford.edu/courses/xelp240-making-high-quality-decisions</x:v>
      </x:c>
      <x:c r="L94" s="35" t="str">
        <x:v>Methoden für Entscheidungsqualität, Unsicherheit und Zielkonflikte.</x:v>
      </x:c>
      <x:c r="M94" s="35" t="str">
        <x:v>15.07.2026</x:v>
      </x:c>
      <x:c r="N94" s="67" t="str">
        <x:v>Neu recherchiert</x:v>
      </x:c>
    </x:row>
    <x:row r="95">
      <x:c r="A95" s="35" t="str">
        <x:v>Soft Skills</x:v>
      </x:c>
      <x:c r="B95" s="35" t="str">
        <x:v>Strategisches Urteilsvermögen</x:v>
      </x:c>
      <x:c r="C95" s="35" t="str">
        <x:v>Zukunftsszenarien entwickeln und langfristige Folgen antizipieren</x:v>
      </x:c>
      <x:c r="D95" s="35" t="str">
        <x:v>Neu</x:v>
      </x:c>
      <x:c r="E95" s="35" t="str">
        <x:v>Stanford d.school</x:v>
      </x:c>
      <x:c r="F95" s="35" t="str">
        <x:v>Futures Thinking for Strategic Decision-Making</x:v>
      </x:c>
      <x:c r="G95" s="49" t="str">
        <x:v>Aktuell</x:v>
      </x:c>
      <x:c r="H95" s="35" t="str">
        <x:v>Termine laut Anbieter</x:v>
      </x:c>
      <x:c r="I95" s="35" t="str">
        <x:v>Online oder Workshopformat</x:v>
      </x:c>
      <x:c r="J95" s="35" t="str">
        <x:v>Veranstaltungsseite aktiv</x:v>
      </x:c>
      <x:c r="K95" s="35" t="str">
        <x:v>https://dschool.stanford.edu/events/futures-thinking-for-strategic-decision-making</x:v>
      </x:c>
      <x:c r="L95" s="35" t="str">
        <x:v>Futures Thinking für strategische Entscheidungen und Unsicherheit.</x:v>
      </x:c>
      <x:c r="M95" s="35" t="str">
        <x:v>15.07.2026</x:v>
      </x:c>
      <x:c r="N95" s="67" t="str">
        <x:v>Neu recherchiert</x:v>
      </x:c>
    </x:row>
    <x:row r="96">
      <x:c r="A96" s="59" t="str">
        <x:v>Hybrid Work &amp; Future Capability Skills</x:v>
      </x:c>
      <x:c r="B96" s="52" t="str">
        <x:v>Gestaltung flexibler und hybrider Arbeitsmodelle</x:v>
      </x:c>
      <x:c r="C96" s="52" t="str">
        <x:v>Hybrid- und Remote-Arbeit strategisch skalieren und organisatorisch verankern</x:v>
      </x:c>
      <x:c r="D96" s="52" t="str">
        <x:v>Erweitert</x:v>
      </x:c>
      <x:c r="E96" s="52" t="str">
        <x:v>Coursera / GitLab</x:v>
      </x:c>
      <x:c r="F96" s="52" t="str">
        <x:v>How to Manage a Remote Team</x:v>
      </x:c>
      <x:c r="G96" s="79" t="str">
        <x:v>Aktuell</x:v>
      </x:c>
      <x:c r="H96" s="52" t="str">
        <x:v>Jederzeit (flexibler Selbstlernkurs)</x:v>
      </x:c>
      <x:c r="I96" s="52" t="str">
        <x:v>Online</x:v>
      </x:c>
      <x:c r="J96" s="52" t="str">
        <x:v>Einschreibung möglich</x:v>
      </x:c>
      <x:c r="K96" s="52" t="str">
        <x:v>https://www.coursera.org/learn/remote-team-management</x:v>
      </x:c>
      <x:c r="L96" s="52" t="str">
        <x:v>Remote-Work-Strategie, Organisationskultur, Readiness und skalierbare Führungspraktiken.</x:v>
      </x:c>
      <x:c r="M96" s="52" t="str">
        <x:v>16.07.2026</x:v>
      </x:c>
      <x:c r="N96" s="84" t="str">
        <x:v>Ersetzt bisherigen Change-Kurs</x:v>
      </x:c>
    </x:row>
    <x:row r="97">
      <x:c r="A97" s="35" t="str">
        <x:v>Hybrid Work &amp; Future Capability Skills</x:v>
      </x:c>
      <x:c r="B97" s="35" t="str">
        <x:v>Führung hybrider Teams</x:v>
      </x:c>
      <x:c r="C97" s="35" t="str">
        <x:v>Produktivität, Vertrauen und Verantwortlichkeit über Arbeitsorte hinweg sichern</x:v>
      </x:c>
      <x:c r="D97" s="35" t="str">
        <x:v>Erweitert</x:v>
      </x:c>
      <x:c r="E97" s="35" t="str">
        <x:v>Coursera / Packt</x:v>
      </x:c>
      <x:c r="F97" s="35" t="str">
        <x:v>Managing Hybrid Teams</x:v>
      </x:c>
      <x:c r="G97" s="80" t="str">
        <x:v>Aktuell</x:v>
      </x:c>
      <x:c r="H97" s="35" t="str">
        <x:v>Jederzeit (flexibel)</x:v>
      </x:c>
      <x:c r="I97" s="35" t="str">
        <x:v>Online</x:v>
      </x:c>
      <x:c r="J97" s="35" t="str">
        <x:v>Einschreibung möglich</x:v>
      </x:c>
      <x:c r="K97" s="35" t="str">
        <x:v>https://www.coursera.org/learn/packt-managing-hybrid-teams-cnsnj</x:v>
      </x:c>
      <x:c r="L97" s="35" t="str">
        <x:v>Praxisnaher Kurs zu hybriden Arbeitsmodellen, Teamkohäsion, Kommunikation und Accountability.</x:v>
      </x:c>
      <x:c r="M97" s="35" t="str">
        <x:v>16.07.2026</x:v>
      </x:c>
      <x:c r="N97" s="83" t="str">
        <x:v>Ersetzt bisherigen Change-Kurs</x:v>
      </x:c>
    </x:row>
    <x:row r="98">
      <x:c r="A98" s="35" t="str">
        <x:v>Hybrid Work &amp; Future Capability Skills</x:v>
      </x:c>
      <x:c r="B98" s="35" t="str">
        <x:v>Führung verteilter Teams</x:v>
      </x:c>
      <x:c r="C98" s="35" t="str">
        <x:v>Systeme für Zusammenarbeit, Leistung, Feedback und Verantwortlichkeit entwickeln</x:v>
      </x:c>
      <x:c r="D98" s="35" t="str">
        <x:v>Neu</x:v>
      </x:c>
      <x:c r="E98" s="35" t="str">
        <x:v>Coursera / SkillUp</x:v>
      </x:c>
      <x:c r="F98" s="35" t="str">
        <x:v>Remote Team Management Specialization</x:v>
      </x:c>
      <x:c r="G98" s="80" t="str">
        <x:v>Aktuell</x:v>
      </x:c>
      <x:c r="H98" s="35" t="str">
        <x:v>Jederzeit; ca. 12 Wochen bei 2 Std./Woche</x:v>
      </x:c>
      <x:c r="I98" s="35" t="str">
        <x:v>Online</x:v>
      </x:c>
      <x:c r="J98" s="35" t="str">
        <x:v>Einschreibung möglich</x:v>
      </x:c>
      <x:c r="K98" s="35" t="str">
        <x:v>https://www.coursera.org/specializations/remoteteammanagement</x:v>
      </x:c>
      <x:c r="L98" s="35" t="str">
        <x:v>Dreiteilige Spezialisierung mit Readiness-, Kultur-, Kollaborations- und Performance-Plänen.</x:v>
      </x:c>
      <x:c r="M98" s="35" t="str">
        <x:v>16.07.2026</x:v>
      </x:c>
      <x:c r="N98" s="83" t="str">
        <x:v>Neu recherchiert</x:v>
      </x:c>
    </x:row>
    <x:row r="99">
      <x:c r="A99" s="35" t="str">
        <x:v>Hybrid Work &amp; Future Capability Skills</x:v>
      </x:c>
      <x:c r="B99" s="35" t="str">
        <x:v>Digitale Kommunikation und Zusammenarbeit</x:v>
      </x:c>
      <x:c r="C99" s="35" t="str">
        <x:v>Vertrauen, Beziehungen und wirksame Kommunikation in virtuellen Teams aufbauen</x:v>
      </x:c>
      <x:c r="D99" s="35" t="str">
        <x:v>Neu</x:v>
      </x:c>
      <x:c r="E99" s="35" t="str">
        <x:v>Coursera / University of California, Irvine</x:v>
      </x:c>
      <x:c r="F99" s="35" t="str">
        <x:v>Communication in Remote Work</x:v>
      </x:c>
      <x:c r="G99" s="80" t="str">
        <x:v>Aktuell</x:v>
      </x:c>
      <x:c r="H99" s="35" t="str">
        <x:v>Jederzeit; ca. 5 Stunden</x:v>
      </x:c>
      <x:c r="I99" s="35" t="str">
        <x:v>Online</x:v>
      </x:c>
      <x:c r="J99" s="35" t="str">
        <x:v>Einschreibung möglich</x:v>
      </x:c>
      <x:c r="K99" s="35" t="str">
        <x:v>https://www.coursera.org/learn/communication-in-remote-work</x:v>
      </x:c>
      <x:c r="L99" s="35" t="str">
        <x:v>Kurs zu Kommunikation, Vertrauen, Beziehungsaufbau und Zusammenarbeit in Remote-Teams.</x:v>
      </x:c>
      <x:c r="M99" s="35" t="str">
        <x:v>16.07.2026</x:v>
      </x:c>
      <x:c r="N99" s="83" t="str">
        <x:v>Neu recherchiert</x:v>
      </x:c>
    </x:row>
    <x:row r="100">
      <x:c r="A100" s="35" t="str">
        <x:v>Hybrid Work &amp; Future Capability Skills</x:v>
      </x:c>
      <x:c r="B100" s="35" t="str">
        <x:v>Future Capability und anpassungsfähige Führung</x:v>
      </x:c>
      <x:c r="C100" s="35" t="str">
        <x:v>Inklusive, leistungsstarke und zukunftsfähige Teams in hybriden Strukturen entwickeln</x:v>
      </x:c>
      <x:c r="D100" s="35" t="str">
        <x:v>Neu</x:v>
      </x:c>
      <x:c r="E100" s="35" t="str">
        <x:v>Coursera / Skillshare</x:v>
      </x:c>
      <x:c r="F100" s="35" t="str">
        <x:v>Leadership: Being a Confident and Effective Team Leader Specialization</x:v>
      </x:c>
      <x:c r="G100" s="80" t="str">
        <x:v>Aktuell</x:v>
      </x:c>
      <x:c r="H100" s="35" t="str">
        <x:v>Jederzeit; ca. 4 Wochen</x:v>
      </x:c>
      <x:c r="I100" s="35" t="str">
        <x:v>Online</x:v>
      </x:c>
      <x:c r="J100" s="35" t="str">
        <x:v>Einschreibung möglich</x:v>
      </x:c>
      <x:c r="K100" s="35" t="str">
        <x:v>https://www.coursera.org/specializations/leadershipbeingaconfidentandeffectiveteamleader</x:v>
      </x:c>
      <x:c r="L100" s="35" t="str">
        <x:v>Sechs Kurse zu Hybrid Leadership, digitaler Zusammenarbeit, Feedback, Inklusion und Future-ready Teams.</x:v>
      </x:c>
      <x:c r="M100" s="35" t="str">
        <x:v>16.07.2026</x:v>
      </x:c>
      <x:c r="N100" s="83" t="str">
        <x:v>Neu recherchiert</x:v>
      </x:c>
    </x:row>
  </x:sheetData>
  <x:mergeCells>
    <x:mergeCell ref="A1:N1"/>
    <x:mergeCell ref="A2:N2"/>
  </x:mergeCells>
  <x:pageMargins left="0.7" right="0.7" top="0.75" bottom="0.75" header="0.3" footer="0.3"/>
  <x:tableParts count="1">
    <x:tablePart xmlns:r="http://schemas.openxmlformats.org/officeDocument/2006/relationships" r:id="Rea21bd1e16ea4050"/>
  </x:tableParts>
</x:worksheet>
</file>

<file path=xl/worksheets/sheet3.xml><?xml version="1.0" encoding="utf-8"?>
<x:worksheet xmlns:x="http://schemas.openxmlformats.org/spreadsheetml/2006/main">
  <x:sheetFormatPr defaultRowHeight="15"/>
  <x:cols>
    <x:col min="1" max="1" width="28" hidden="0" customWidth="1"/>
    <x:col min="2" max="2" width="24" hidden="0" customWidth="1"/>
    <x:col min="3" max="3" width="36" hidden="0" customWidth="1"/>
    <x:col min="4" max="4" width="48" hidden="0" customWidth="1"/>
    <x:col min="5" max="5" width="20" hidden="0" customWidth="1"/>
    <x:col min="6" max="6" width="38" hidden="0" customWidth="1"/>
    <x:col min="7" max="7" width="25" hidden="0" customWidth="1"/>
    <x:col min="8" max="8" width="40" hidden="0" customWidth="1"/>
    <x:col min="9" max="9" width="48" hidden="0" customWidth="1"/>
    <x:col min="10" max="10" width="29" hidden="0" customWidth="1"/>
    <x:col min="11" max="11" width="14" hidden="0" customWidth="1"/>
  </x:cols>
  <x:sheetData>
    <x:row r="1">
      <x:c r="A1" s="5" t="str">
        <x:v>Entfernte Altangebote und aktuelle Ersatzkurse</x:v>
      </x:c>
      <x:c r="B1" s="5"/>
      <x:c r="C1" s="5"/>
      <x:c r="D1" s="5"/>
      <x:c r="E1" s="5"/>
      <x:c r="F1" s="5"/>
      <x:c r="G1" s="5"/>
      <x:c r="H1" s="5"/>
      <x:c r="I1" s="5"/>
      <x:c r="J1" s="5"/>
      <x:c r="K1" s="5"/>
    </x:row>
    <x:row r="2">
      <x:c r="A2" s="13" t="str">
        <x:v>Die alten Links bleiben nur zur Dokumentation in diesem Blatt. In der Hauptliste stehen ausschließlich die aktuellen Alternativen.</x:v>
      </x:c>
      <x:c r="B2" s="13"/>
      <x:c r="C2" s="13"/>
      <x:c r="D2" s="13"/>
      <x:c r="E2" s="13"/>
      <x:c r="F2" s="13"/>
      <x:c r="G2" s="13"/>
      <x:c r="H2" s="13"/>
      <x:c r="I2" s="13"/>
      <x:c r="J2" s="13"/>
      <x:c r="K2" s="13"/>
    </x:row>
    <x:row r="4">
      <x:c r="A4" s="45" t="str">
        <x:v>Kompetenzbereich</x:v>
      </x:c>
      <x:c r="B4" s="45" t="str">
        <x:v>Alter Anbieter</x:v>
      </x:c>
      <x:c r="C4" s="45" t="str">
        <x:v>Alter Kurs</x:v>
      </x:c>
      <x:c r="D4" s="45" t="str">
        <x:v>Alter Link</x:v>
      </x:c>
      <x:c r="E4" s="45" t="str">
        <x:v>Alter Status</x:v>
      </x:c>
      <x:c r="F4" s="45" t="str">
        <x:v>Grund für Entfernung</x:v>
      </x:c>
      <x:c r="G4" s="45" t="str">
        <x:v>Neuer Anbieter</x:v>
      </x:c>
      <x:c r="H4" s="45" t="str">
        <x:v>Aktuelle Alternative</x:v>
      </x:c>
      <x:c r="I4" s="45" t="str">
        <x:v>Neuer Link</x:v>
      </x:c>
      <x:c r="J4" s="45" t="str">
        <x:v>Maßnahme</x:v>
      </x:c>
      <x:c r="K4" s="45" t="str">
        <x:v>Geprüft am</x:v>
      </x:c>
    </x:row>
    <x:row r="5">
      <x:c r="A5" s="35" t="str">
        <x:v>Strategy &amp; Business Model Skills</x:v>
      </x:c>
      <x:c r="B5" s="35" t="str">
        <x:v>Smartnet Academy</x:v>
      </x:c>
      <x:c r="C5" s="35" t="str">
        <x:v>AI-Driven Business Model Innovation</x:v>
      </x:c>
      <x:c r="D5" s="73" t="str">
        <x:v>https://smartnetacademy.com/ai-driven-business-model-innovation-course/</x:v>
      </x:c>
      <x:c r="E5" s="35" t="str">
        <x:v>Nicht verifizierbar</x:v>
      </x:c>
      <x:c r="F5" s="35" t="str">
        <x:v>Alte URL bzw. alter Kurstitel nicht mehr aktuell.</x:v>
      </x:c>
      <x:c r="G5" s="35" t="str">
        <x:v>Smartnet Academy</x:v>
      </x:c>
      <x:c r="H5" s="35" t="str">
        <x:v>AI and Business Model Innovation</x:v>
      </x:c>
      <x:c r="I5" s="47" t="str">
        <x:v>https://smartnetacademy.com/courses/ai-and-business-model-innovation/</x:v>
      </x:c>
      <x:c r="J5" s="75" t="str">
        <x:v>Gelöscht und ersetzt</x:v>
      </x:c>
      <x:c r="K5" s="35" t="str">
        <x:v>15.07.2026</x:v>
      </x:c>
    </x:row>
    <x:row r="6">
      <x:c r="A6" s="35" t="str">
        <x:v>Technical &amp; AI Literacy</x:v>
      </x:c>
      <x:c r="B6" s="35" t="str">
        <x:v>Coursera</x:v>
      </x:c>
      <x:c r="C6" s="35" t="str">
        <x:v>Generative KI: Grundlegende Kontexte</x:v>
      </x:c>
      <x:c r="D6" s="73" t="str">
        <x:v>https://www.coursera.org/learn/generative-ki-grundlegende-kontexte</x:v>
      </x:c>
      <x:c r="E6" s="35" t="str">
        <x:v>Nicht aktuell / 404</x:v>
      </x:c>
      <x:c r="F6" s="35" t="str">
        <x:v>Alter Coursera-Link liefert 404.</x:v>
      </x:c>
      <x:c r="G6" s="35" t="str">
        <x:v>Coursera / DeepLearning.AI</x:v>
      </x:c>
      <x:c r="H6" s="35" t="str">
        <x:v>Generative AI for Everyone</x:v>
      </x:c>
      <x:c r="I6" s="47" t="str">
        <x:v>https://www.coursera.org/learn/generative-ai-for-everyone</x:v>
      </x:c>
      <x:c r="J6" s="75" t="str">
        <x:v>Gelöscht und ersetzt</x:v>
      </x:c>
      <x:c r="K6" s="35" t="str">
        <x:v>15.07.2026</x:v>
      </x:c>
    </x:row>
    <x:row r="7">
      <x:c r="A7" s="35" t="str">
        <x:v>Technical &amp; AI Literacy</x:v>
      </x:c>
      <x:c r="B7" s="35" t="str">
        <x:v>TD SYNNEX</x:v>
      </x:c>
      <x:c r="C7" s="35" t="str">
        <x:v>GAIEBTDM</x:v>
      </x:c>
      <x:c r="D7" s="73" t="str">
        <x:v>https://academy.tdsynnex.com/de/training/course/gaiebtdm/</x:v>
      </x:c>
      <x:c r="E7" s="35" t="str">
        <x:v>Nicht aktuell / 404</x:v>
      </x:c>
      <x:c r="F7" s="35" t="str">
        <x:v>Alter TD-SYNNEX-Kurslink liefert 404.</x:v>
      </x:c>
      <x:c r="G7" s="35" t="str">
        <x:v>Microsoft Learn</x:v>
      </x:c>
      <x:c r="H7" s="35" t="str">
        <x:v>Drive AI transformation in your organization (AB-731T00)</x:v>
      </x:c>
      <x:c r="I7" s="47" t="str">
        <x:v>https://learn.microsoft.com/en-us/training/courses/ab-731t00</x:v>
      </x:c>
      <x:c r="J7" s="75" t="str">
        <x:v>Gelöscht und ersetzt</x:v>
      </x:c>
      <x:c r="K7" s="35" t="str">
        <x:v>15.07.2026</x:v>
      </x:c>
    </x:row>
    <x:row r="8">
      <x:c r="A8" s="35" t="str">
        <x:v>Data &amp; Analytics Skills</x:v>
      </x:c>
      <x:c r="B8" s="35" t="str">
        <x:v>Evolvix Skills</x:v>
      </x:c>
      <x:c r="C8" s="35" t="str">
        <x:v>Advanced BI Dashboard Design</x:v>
      </x:c>
      <x:c r="D8" s="73" t="str">
        <x:v>https://evolvixskills.com/courses/advanced-bi-dashboard-design-training-course/</x:v>
      </x:c>
      <x:c r="E8" s="35" t="str">
        <x:v>Nicht verifizierbar</x:v>
      </x:c>
      <x:c r="F8" s="35" t="str">
        <x:v>Alte Kursbezeichnung bzw. URL nicht mehr passend.</x:v>
      </x:c>
      <x:c r="G8" s="35" t="str">
        <x:v>Evolvix Skills</x:v>
      </x:c>
      <x:c r="H8" s="35" t="str">
        <x:v>Advanced BI Tools, Analytics &amp; Data Visualization</x:v>
      </x:c>
      <x:c r="I8" s="47" t="str">
        <x:v>https://evolvixskills.com/courses/advanced-bi-tools-analytics-data-visualization-training-course/</x:v>
      </x:c>
      <x:c r="J8" s="75" t="str">
        <x:v>Gelöscht und durch aktuelles Angebot ersetzt</x:v>
      </x:c>
      <x:c r="K8" s="35" t="str">
        <x:v>15.07.2026</x:v>
      </x:c>
    </x:row>
    <x:row r="9">
      <x:c r="A9" s="35" t="str">
        <x:v>Team &amp; Leadership Skills</x:v>
      </x:c>
      <x:c r="B9" s="35" t="str">
        <x:v>Coursera</x:v>
      </x:c>
      <x:c r="C9" s="35" t="str">
        <x:v>Leading with AI Culture</x:v>
      </x:c>
      <x:c r="D9" s="73" t="str">
        <x:v>https://www.coursera.org/learn/leading-with-ai-culture</x:v>
      </x:c>
      <x:c r="E9" s="35" t="str">
        <x:v>Nicht verifizierbar</x:v>
      </x:c>
      <x:c r="F9" s="35" t="str">
        <x:v>Alter Coursera-Kurs nicht mehr erreichbar.</x:v>
      </x:c>
      <x:c r="G9" s="35" t="str">
        <x:v>Coursera / Wiley</x:v>
      </x:c>
      <x:c r="H9" s="35" t="str">
        <x:v>Leading AI Projects and Building the Right Culture</x:v>
      </x:c>
      <x:c r="I9" s="47" t="str">
        <x:v>https://www.coursera.org/learn/wiley-leading-ai-projects-and-building-the-right-culture</x:v>
      </x:c>
      <x:c r="J9" s="75" t="str">
        <x:v>Gelöscht und ersetzt</x:v>
      </x:c>
      <x:c r="K9" s="35" t="str">
        <x:v>15.07.2026</x:v>
      </x:c>
    </x:row>
    <x:row r="10">
      <x:c r="A10" s="35" t="str">
        <x:v>Team &amp; Leadership Skills</x:v>
      </x:c>
      <x:c r="B10" s="35" t="str">
        <x:v>Udemy</x:v>
      </x:c>
      <x:c r="C10" s="35" t="str">
        <x:v>AI Talent Management and Team Allocation</x:v>
      </x:c>
      <x:c r="D10" s="73" t="str">
        <x:v>https://www.udemy.com/course/ai-talent-management-and-team-allocation/</x:v>
      </x:c>
      <x:c r="E10" s="35" t="str">
        <x:v>Nicht verifizierbar</x:v>
      </x:c>
      <x:c r="F10" s="35" t="str">
        <x:v>Exakter Udemy-Kurs nicht mehr auffindbar.</x:v>
      </x:c>
      <x:c r="G10" s="35" t="str">
        <x:v>Coursera</x:v>
      </x:c>
      <x:c r="H10" s="35" t="str">
        <x:v>Leading Cross-Functional AI Delivery</x:v>
      </x:c>
      <x:c r="I10" s="47" t="str">
        <x:v>https://www.coursera.org/learn/leading-cross-functional-ai-delivery</x:v>
      </x:c>
      <x:c r="J10" s="75" t="str">
        <x:v>Gelöscht und ersetzt</x:v>
      </x:c>
      <x:c r="K10" s="35" t="str">
        <x:v>15.07.2026</x:v>
      </x:c>
    </x:row>
    <x:row r="11">
      <x:c r="A11" s="35" t="str">
        <x:v>Team &amp; Leadership Skills</x:v>
      </x:c>
      <x:c r="B11" s="35" t="str">
        <x:v>Smartnet Academy</x:v>
      </x:c>
      <x:c r="C11" s="35" t="str">
        <x:v>Managing AI Teams</x:v>
      </x:c>
      <x:c r="D11" s="73" t="str">
        <x:v>https://smartnetacademy.com/courses/managing-ai-teams/</x:v>
      </x:c>
      <x:c r="E11" s="35" t="str">
        <x:v>Nicht verifizierbar</x:v>
      </x:c>
      <x:c r="F11" s="35" t="str">
        <x:v>Alter Smartnet-Kurs nicht mehr auffindbar.</x:v>
      </x:c>
      <x:c r="G11" s="35" t="str">
        <x:v>INSEAD</x:v>
      </x:c>
      <x:c r="H11" s="35" t="str">
        <x:v>Reinventing Teams with AI</x:v>
      </x:c>
      <x:c r="I11" s="47" t="str">
        <x:v>https://www.insead.edu/executive-education/leadership/reinventing-teams-ai</x:v>
      </x:c>
      <x:c r="J11" s="75" t="str">
        <x:v>Gelöscht und ersetzt</x:v>
      </x:c>
      <x:c r="K11" s="35" t="str">
        <x:v>15.07.2026</x:v>
      </x:c>
    </x:row>
    <x:row r="12">
      <x:c r="A12" s="35" t="str">
        <x:v>Team &amp; Leadership Skills</x:v>
      </x:c>
      <x:c r="B12" s="35" t="str">
        <x:v>Udemy</x:v>
      </x:c>
      <x:c r="C12" s="35" t="str">
        <x:v>Building AI-Ready Teams</x:v>
      </x:c>
      <x:c r="D12" s="73" t="str">
        <x:v>https://www.udemy.com/course/building-ai-ready-teams/</x:v>
      </x:c>
      <x:c r="E12" s="35" t="str">
        <x:v>Nicht verifizierbar</x:v>
      </x:c>
      <x:c r="F12" s="35" t="str">
        <x:v>Exakter Udemy-Kurs nicht mehr auffindbar.</x:v>
      </x:c>
      <x:c r="G12" s="35" t="str">
        <x:v>Smartnet Academy</x:v>
      </x:c>
      <x:c r="H12" s="35" t="str">
        <x:v>AI for Managers: Lead AI Strategy, Teams &amp; Innovation Without Coding</x:v>
      </x:c>
      <x:c r="I12" s="47" t="str">
        <x:v>https://smartnetacademy.com/courses/ai-for-managers-course-lead-ai-strategy-teams-and-innovation-without-coding/</x:v>
      </x:c>
      <x:c r="J12" s="75" t="str">
        <x:v>Gelöscht und ersetzt</x:v>
      </x:c>
      <x:c r="K12" s="35" t="str">
        <x:v>15.07.2026</x:v>
      </x:c>
    </x:row>
    <x:row r="13">
      <x:c r="A13" s="35" t="str">
        <x:v>Platform &amp; Strategic Tool Skills</x:v>
      </x:c>
      <x:c r="B13" s="35" t="str">
        <x:v>Coursera</x:v>
      </x:c>
      <x:c r="C13" s="35" t="str">
        <x:v>AI and Cloud Platforms Overview</x:v>
      </x:c>
      <x:c r="D13" s="73" t="str">
        <x:v>https://www.coursera.org/learn/ai-and-cloud-platforms-overview</x:v>
      </x:c>
      <x:c r="E13" s="35" t="str">
        <x:v>Nicht verifizierbar</x:v>
      </x:c>
      <x:c r="F13" s="35" t="str">
        <x:v>Alter Coursera-Link liefert 404 bzw. Kurs nicht mehr auffindbar.</x:v>
      </x:c>
      <x:c r="G13" s="35" t="str">
        <x:v>Google Cloud</x:v>
      </x:c>
      <x:c r="H13" s="35" t="str">
        <x:v>Cloud Digital Leader Learning Path</x:v>
      </x:c>
      <x:c r="I13" s="47" t="str">
        <x:v>https://www.cloudskillsboost.google/paths/9</x:v>
      </x:c>
      <x:c r="J13" s="75" t="str">
        <x:v>Gelöscht und ersetzt</x:v>
      </x:c>
      <x:c r="K13" s="35" t="str">
        <x:v>15.07.2026</x:v>
      </x:c>
    </x:row>
    <x:row r="14">
      <x:c r="A14" s="35" t="str">
        <x:v>Platform &amp; Strategic Tool Skills</x:v>
      </x:c>
      <x:c r="B14" s="35" t="str">
        <x:v>Udemy</x:v>
      </x:c>
      <x:c r="C14" s="35" t="str">
        <x:v>Cloud AI Foundations</x:v>
      </x:c>
      <x:c r="D14" s="73" t="str">
        <x:v>https://www.udemy.com/course/cloud-ai-foundations/</x:v>
      </x:c>
      <x:c r="E14" s="35" t="str">
        <x:v>Nicht verifizierbar</x:v>
      </x:c>
      <x:c r="F14" s="35" t="str">
        <x:v>Exakter Udemy-Kurs nicht mehr auffindbar.</x:v>
      </x:c>
      <x:c r="G14" s="35" t="str">
        <x:v>Microsoft Learn</x:v>
      </x:c>
      <x:c r="H14" s="35" t="str">
        <x:v>Get to know Microsoft Azure cloud platform for business professionals</x:v>
      </x:c>
      <x:c r="I14" s="47" t="str">
        <x:v>https://learn.microsoft.com/en-us/training/paths/get-know-microsoft-azure-cloud-platform-business-professionals/</x:v>
      </x:c>
      <x:c r="J14" s="75" t="str">
        <x:v>Gelöscht und ersetzt</x:v>
      </x:c>
      <x:c r="K14" s="35" t="str">
        <x:v>15.07.2026</x:v>
      </x:c>
    </x:row>
    <x:row r="15">
      <x:c r="A15" s="35" t="str">
        <x:v>Platform &amp; Strategic Tool Skills</x:v>
      </x:c>
      <x:c r="B15" s="35" t="str">
        <x:v>Microsoft Learn</x:v>
      </x:c>
      <x:c r="C15" s="35" t="str">
        <x:v>Azure AI Fundamentals</x:v>
      </x:c>
      <x:c r="D15" s="73" t="str">
        <x:v>https://learn.microsoft.com/en-us/training/paths/azure-ai-fundamentals/</x:v>
      </x:c>
      <x:c r="E15" s="35" t="str">
        <x:v>Nicht aktuell / abgelöst</x:v>
      </x:c>
      <x:c r="F15" s="35" t="str">
        <x:v>Alter Lernpfad wurde zum 30.06.2026 abgelöst.</x:v>
      </x:c>
      <x:c r="G15" s="35" t="str">
        <x:v>Microsoft Learn</x:v>
      </x:c>
      <x:c r="H15" s="35" t="str">
        <x:v>Introduction to AI in Azure (AI-901T00)</x:v>
      </x:c>
      <x:c r="I15" s="47" t="str">
        <x:v>https://learn.microsoft.com/en-us/training/courses/ai-901t00</x:v>
      </x:c>
      <x:c r="J15" s="75" t="str">
        <x:v>Gelöscht und ersetzt</x:v>
      </x:c>
      <x:c r="K15" s="35" t="str">
        <x:v>15.07.2026</x:v>
      </x:c>
    </x:row>
    <x:row r="16">
      <x:c r="A16" s="35" t="str">
        <x:v>Platform &amp; Strategic Tool Skills</x:v>
      </x:c>
      <x:c r="B16" s="35" t="str">
        <x:v>Coursera / Google Cloud</x:v>
      </x:c>
      <x:c r="C16" s="35" t="str">
        <x:v>GCP AI &amp; ML Specialization</x:v>
      </x:c>
      <x:c r="D16" s="73" t="str">
        <x:v>https://www.coursera.org/specializations/gcp-ai-ml</x:v>
      </x:c>
      <x:c r="E16" s="35" t="str">
        <x:v>Nicht aktuell / 404</x:v>
      </x:c>
      <x:c r="F16" s="35" t="str">
        <x:v>Alter Spezialisierungslink liefert 404.</x:v>
      </x:c>
      <x:c r="G16" s="35" t="str">
        <x:v>Coursera / Google Cloud</x:v>
      </x:c>
      <x:c r="H16" s="35" t="str">
        <x:v>Machine Learning on Google Cloud Specialization</x:v>
      </x:c>
      <x:c r="I16" s="47" t="str">
        <x:v>https://www.coursera.org/specializations/machine-learning-tensorflow-gcp</x:v>
      </x:c>
      <x:c r="J16" s="75" t="str">
        <x:v>Gelöscht und ersetzt</x:v>
      </x:c>
      <x:c r="K16" s="35" t="str">
        <x:v>15.07.2026</x:v>
      </x:c>
    </x:row>
    <x:row r="17">
      <x:c r="A17" s="35" t="str">
        <x:v>Platform &amp; Strategic Tool Skills</x:v>
      </x:c>
      <x:c r="B17" s="35" t="str">
        <x:v>Smartnet Academy</x:v>
      </x:c>
      <x:c r="C17" s="35" t="str">
        <x:v>AI Platform Strategy Evaluation</x:v>
      </x:c>
      <x:c r="D17" s="73" t="str">
        <x:v>https://smartnetacademy.com/courses/ai-platform-strategy-evaluation/</x:v>
      </x:c>
      <x:c r="E17" s="35" t="str">
        <x:v>Nicht verifizierbar</x:v>
      </x:c>
      <x:c r="F17" s="35" t="str">
        <x:v>Exakter Smartnet-Kurs nicht mehr auffindbar.</x:v>
      </x:c>
      <x:c r="G17" s="35" t="str">
        <x:v>ESMT Berlin</x:v>
      </x:c>
      <x:c r="H17" s="35" t="str">
        <x:v>Data Strategy for Enterprise AI</x:v>
      </x:c>
      <x:c r="I17" s="47" t="str">
        <x:v>https://esmt.berlin/executive-education/analytics-ai-programs/data-strategy</x:v>
      </x:c>
      <x:c r="J17" s="75" t="str">
        <x:v>Gelöscht und ersetzt</x:v>
      </x:c>
      <x:c r="K17" s="35" t="str">
        <x:v>15.07.2026</x:v>
      </x:c>
    </x:row>
    <x:row r="18">
      <x:c r="A18" s="35" t="str">
        <x:v>Platform &amp; Strategic Tool Skills</x:v>
      </x:c>
      <x:c r="B18" s="35" t="str">
        <x:v>Coursera</x:v>
      </x:c>
      <x:c r="C18" s="35" t="str">
        <x:v>Evaluating Cloud AI Platforms for Enterprise Strategy</x:v>
      </x:c>
      <x:c r="D18" s="73" t="str">
        <x:v>https://www.coursera.org/learn/evaluating-cloud-ai-platforms-enterprise-strategy</x:v>
      </x:c>
      <x:c r="E18" s="35" t="str">
        <x:v>Nicht aktuell / 404</x:v>
      </x:c>
      <x:c r="F18" s="35" t="str">
        <x:v>Alter Coursera-Link liefert 404.</x:v>
      </x:c>
      <x:c r="G18" s="35" t="str">
        <x:v>AWS</x:v>
      </x:c>
      <x:c r="H18" s="35" t="str">
        <x:v>AI for Business Leaders</x:v>
      </x:c>
      <x:c r="I18" s="47" t="str">
        <x:v>https://aws.amazon.com/ai/learn/organizational-leader/</x:v>
      </x:c>
      <x:c r="J18" s="75" t="str">
        <x:v>Gelöscht und ersetzt</x:v>
      </x:c>
      <x:c r="K18" s="35" t="str">
        <x:v>15.07.2026</x:v>
      </x:c>
    </x:row>
    <x:row r="19">
      <x:c r="A19" s="35" t="str">
        <x:v>Platform &amp; Strategic Tool Skills</x:v>
      </x:c>
      <x:c r="B19" s="35" t="str">
        <x:v>Udemy</x:v>
      </x:c>
      <x:c r="C19" s="35" t="str">
        <x:v>Cloud Cost Optimization: AI Platform ROI</x:v>
      </x:c>
      <x:c r="D19" s="73" t="str">
        <x:v>https://www.udemy.com/course/cloud-cost-optimization-ai-platform-roi/</x:v>
      </x:c>
      <x:c r="E19" s="35" t="str">
        <x:v>Nicht verifizierbar</x:v>
      </x:c>
      <x:c r="F19" s="35" t="str">
        <x:v>Exakter Udemy-Kurs nicht mehr auffindbar.</x:v>
      </x:c>
      <x:c r="G19" s="35" t="str">
        <x:v>Coursera</x:v>
      </x:c>
      <x:c r="H19" s="35" t="str">
        <x:v>Optimizing AI System Operations and Costs</x:v>
      </x:c>
      <x:c r="I19" s="47" t="str">
        <x:v>https://www.coursera.org/learn/optimizing-ai-system-operations-and-costs</x:v>
      </x:c>
      <x:c r="J19" s="75" t="str">
        <x:v>Gelöscht und ersetzt</x:v>
      </x:c>
      <x:c r="K19" s="35" t="str">
        <x:v>15.07.2026</x:v>
      </x:c>
    </x:row>
    <x:row r="20">
      <x:c r="A20" s="35" t="str">
        <x:v>Hybrid Work &amp; Future Capability Skills</x:v>
      </x:c>
      <x:c r="B20" s="35" t="str">
        <x:v>Venture AI Germany</x:v>
      </x:c>
      <x:c r="C20" s="35" t="str">
        <x:v>AI Leadership &amp; Change Manager</x:v>
      </x:c>
      <x:c r="D20" s="73" t="str">
        <x:v>https://venture-ai-germany.org/en/ai-leadership-and-change-manager/</x:v>
      </x:c>
      <x:c r="E20" s="35" t="str">
        <x:v>Aktiv – Termin offen</x:v>
      </x:c>
      <x:c r="F20" s="35" t="str">
        <x:v>Der bisherige Change-Kurs passt nicht mehr zum neu definierten 9. Skillsbereich.</x:v>
      </x:c>
      <x:c r="G20" s="35" t="str">
        <x:v>Coursera / GitLab</x:v>
      </x:c>
      <x:c r="H20" s="35" t="str">
        <x:v>How to Manage a Remote Team</x:v>
      </x:c>
      <x:c r="I20" s="47" t="str">
        <x:v>https://www.coursera.org/learn/remote-team-management</x:v>
      </x:c>
      <x:c r="J20" s="75" t="str">
        <x:v>Durch Hybrid-Work-Kurs ersetzt</x:v>
      </x:c>
      <x:c r="K20" s="35" t="str">
        <x:v>16.07.2026</x:v>
      </x:c>
    </x:row>
    <x:row r="21">
      <x:c r="A21" s="35" t="str">
        <x:v>Hybrid Work &amp; Future Capability Skills</x:v>
      </x:c>
      <x:c r="B21" s="35" t="str">
        <x:v>Bitkom Akademie</x:v>
      </x:c>
      <x:c r="C21" s="35" t="str">
        <x:v>AI Leadership</x:v>
      </x:c>
      <x:c r="D21" s="73" t="str">
        <x:v>https://bitkom-akademie.de/lehrgang/ai_leadership</x:v>
      </x:c>
      <x:c r="E21" s="35" t="str">
        <x:v>Aktiv – Termin offen</x:v>
      </x:c>
      <x:c r="F21" s="35" t="str">
        <x:v>Der bisherige Change-Kurs passt nicht mehr zum neu definierten 9. Skillsbereich.</x:v>
      </x:c>
      <x:c r="G21" s="35" t="str">
        <x:v>Coursera / Packt</x:v>
      </x:c>
      <x:c r="H21" s="35" t="str">
        <x:v>Managing Hybrid Teams</x:v>
      </x:c>
      <x:c r="I21" s="47" t="str">
        <x:v>https://www.coursera.org/learn/packt-managing-hybrid-teams-cnsnj</x:v>
      </x:c>
      <x:c r="J21" s="75" t="str">
        <x:v>Durch Hybrid-Work-Kurs ersetzt</x:v>
      </x:c>
      <x:c r="K21" s="35" t="str">
        <x:v>16.07.2026</x:v>
      </x:c>
    </x:row>
  </x:sheetData>
  <x:mergeCells>
    <x:mergeCell ref="A1:K1"/>
    <x:mergeCell ref="A2:K2"/>
  </x:mergeCells>
  <x:pageMargins left="0.7" right="0.7" top="0.75" bottom="0.75" header="0.3" footer="0.3"/>
  <x:tableParts count="1">
    <x:tablePart xmlns:r="http://schemas.openxmlformats.org/officeDocument/2006/relationships" r:id="R9f5720ef959c404d"/>
  </x:tableParts>
</x:worksheet>
</file>

<file path=xl/worksheets/sheet4.xml><?xml version="1.0" encoding="utf-8"?>
<x:worksheet xmlns:x="http://schemas.openxmlformats.org/spreadsheetml/2006/main">
  <x:sheetFormatPr defaultRowHeight="15"/>
  <x:cols>
    <x:col min="1" max="1" width="28" hidden="0" customWidth="1"/>
    <x:col min="2" max="2" width="36" hidden="0" customWidth="1"/>
    <x:col min="3" max="3" width="42" hidden="0" customWidth="1"/>
    <x:col min="4" max="4" width="25" hidden="0" customWidth="1"/>
    <x:col min="5" max="5" width="40" hidden="0" customWidth="1"/>
    <x:col min="6" max="6" width="16" hidden="0" customWidth="1"/>
    <x:col min="7" max="7" width="31" hidden="0" customWidth="1"/>
    <x:col min="8" max="8" width="27" hidden="0" customWidth="1"/>
    <x:col min="9" max="9" width="28" hidden="0" customWidth="1"/>
    <x:col min="10" max="10" width="48" hidden="0" customWidth="1"/>
    <x:col min="11" max="11" width="46" hidden="0" customWidth="1"/>
    <x:col min="12" max="12" width="14" hidden="0" customWidth="1"/>
  </x:cols>
  <x:sheetData>
    <x:row r="1">
      <x:c r="A1" s="5" t="str">
        <x:v>27 neu recherchierte Kurse – drei je Skillsbereich</x:v>
      </x:c>
      <x:c r="B1" s="5"/>
      <x:c r="C1" s="5"/>
      <x:c r="D1" s="5"/>
      <x:c r="E1" s="5"/>
      <x:c r="F1" s="5"/>
      <x:c r="G1" s="5"/>
      <x:c r="H1" s="5"/>
      <x:c r="I1" s="5"/>
      <x:c r="J1" s="5"/>
      <x:c r="K1" s="5"/>
      <x:c r="L1" s="5"/>
    </x:row>
    <x:row r="2">
      <x:c r="A2" s="13" t="str">
        <x:v>Alle Angebote stammen von offiziellen Anbieter- oder Lernplattformseiten. Der 9. Bereich wurde als „Hybrid Work &amp; Future Capability Skills“ neu definiert.</x:v>
      </x:c>
      <x:c r="B2" s="13"/>
      <x:c r="C2" s="13"/>
      <x:c r="D2" s="13"/>
      <x:c r="E2" s="13"/>
      <x:c r="F2" s="13"/>
      <x:c r="G2" s="13"/>
      <x:c r="H2" s="13"/>
      <x:c r="I2" s="13"/>
      <x:c r="J2" s="13"/>
      <x:c r="K2" s="13"/>
      <x:c r="L2" s="13"/>
    </x:row>
    <x:row r="4">
      <x:c r="A4" s="45" t="str">
        <x:v>Kompetenzbereich</x:v>
      </x:c>
      <x:c r="B4" s="45" t="str">
        <x:v>CEO-Kompetenz</x:v>
      </x:c>
      <x:c r="C4" s="45" t="str">
        <x:v>AI-First-CEO-Kompetenz</x:v>
      </x:c>
      <x:c r="D4" s="45" t="str">
        <x:v>Anbieter</x:v>
      </x:c>
      <x:c r="E4" s="45" t="str">
        <x:v>Zusätzlicher Kurs</x:v>
      </x:c>
      <x:c r="F4" s="45" t="str">
        <x:v>Status</x:v>
      </x:c>
      <x:c r="G4" s="45" t="str">
        <x:v>Start / Verfügbarkeit</x:v>
      </x:c>
      <x:c r="H4" s="45" t="str">
        <x:v>Durchführung</x:v>
      </x:c>
      <x:c r="I4" s="45" t="str">
        <x:v>Zugang</x:v>
      </x:c>
      <x:c r="J4" s="45" t="str">
        <x:v>Kurslink</x:v>
      </x:c>
      <x:c r="K4" s="45" t="str">
        <x:v>Warum passend</x:v>
      </x:c>
      <x:c r="L4" s="45" t="str">
        <x:v>Geprüft am</x:v>
      </x:c>
    </x:row>
    <x:row r="5">
      <x:c r="A5" s="35" t="str">
        <x:v>Strategy &amp; Business Model Skills</x:v>
      </x:c>
      <x:c r="B5" s="35" t="str">
        <x:v>Gesamtunternehmensstrategie &amp; Kapitalallokation</x:v>
      </x:c>
      <x:c r="C5" s="35" t="str">
        <x:v>AI-Strategie mit Geschäftsmodell, Wertbeitrag und Skalierung verbinden</x:v>
      </x:c>
      <x:c r="D5" s="35" t="str">
        <x:v>MIT Sloan Executive Education</x:v>
      </x:c>
      <x:c r="E5" s="35" t="str">
        <x:v>Artificial Intelligence: Implications for Business Strategy</x:v>
      </x:c>
      <x:c r="F5" s="49" t="str">
        <x:v>Aktuell</x:v>
      </x:c>
      <x:c r="G5" s="35" t="str">
        <x:v>Mehrere Online-Termine laut Anbieter</x:v>
      </x:c>
      <x:c r="H5" s="35" t="str">
        <x:v>Online</x:v>
      </x:c>
      <x:c r="I5" s="35" t="str">
        <x:v>Anmeldung über Anbieter</x:v>
      </x:c>
      <x:c r="J5" s="35" t="str">
        <x:v>https://executive.mit.edu/course/artificial-intelligence/a056g00000URaa3AAD.html</x:v>
      </x:c>
      <x:c r="K5" s="35" t="str">
        <x:v>Executive-Kurs zur strategischen Einordnung und Nutzung von AI.</x:v>
      </x:c>
      <x:c r="L5" s="35" t="str">
        <x:v>15.07.2026</x:v>
      </x:c>
    </x:row>
    <x:row r="6">
      <x:c r="A6" s="35" t="str">
        <x:v>Strategy &amp; Business Model Skills</x:v>
      </x:c>
      <x:c r="B6" s="35" t="str">
        <x:v>Business- &amp; Wachstumsmodelle</x:v>
      </x:c>
      <x:c r="C6" s="35" t="str">
        <x:v>AI-Initiativen an Geschäftszielen ausrichten und skalieren</x:v>
      </x:c>
      <x:c r="D6" s="35" t="str">
        <x:v>INSEAD</x:v>
      </x:c>
      <x:c r="E6" s="35" t="str">
        <x:v>Transforming Your Business with AI</x:v>
      </x:c>
      <x:c r="F6" s="49" t="str">
        <x:v>Aktuell</x:v>
      </x:c>
      <x:c r="G6" s="35" t="str">
        <x:v>21.09.2026; weitere Termine 2027</x:v>
      </x:c>
      <x:c r="H6" s="35" t="str">
        <x:v>Online – 5 Inhaltswochen</x:v>
      </x:c>
      <x:c r="I6" s="35" t="str">
        <x:v>Anmeldung möglich</x:v>
      </x:c>
      <x:c r="J6" s="35" t="str">
        <x:v>https://www.insead.edu/executive-education/open-online-programmes/transform-business-ai</x:v>
      </x:c>
      <x:c r="K6" s="35" t="str">
        <x:v>Praktische Frameworks für AI-Strategie, Organisation und Umsetzung.</x:v>
      </x:c>
      <x:c r="L6" s="35" t="str">
        <x:v>15.07.2026</x:v>
      </x:c>
    </x:row>
    <x:row r="7">
      <x:c r="A7" s="35" t="str">
        <x:v>Strategy &amp; Business Model Skills</x:v>
      </x:c>
      <x:c r="B7" s="35" t="str">
        <x:v>Business- &amp; Wachstumsmodelle</x:v>
      </x:c>
      <x:c r="C7" s="35" t="str">
        <x:v>Neue Anwendungsfelder und Geschäftschancen mit Generative AI bewerten</x:v>
      </x:c>
      <x:c r="D7" s="35" t="str">
        <x:v>Stanford Online</x:v>
      </x:c>
      <x:c r="E7" s="35" t="str">
        <x:v>Business Opportunities and Applications of Generative AI</x:v>
      </x:c>
      <x:c r="F7" s="49" t="str">
        <x:v>Aktuell</x:v>
      </x:c>
      <x:c r="G7" s="35" t="str">
        <x:v>Online / nach Anbieterplanung</x:v>
      </x:c>
      <x:c r="H7" s="35" t="str">
        <x:v>Online</x:v>
      </x:c>
      <x:c r="I7" s="35" t="str">
        <x:v>Kursseite aktiv</x:v>
      </x:c>
      <x:c r="J7" s="35" t="str">
        <x:v>https://online.stanford.edu/courses/xfm111-business-opportunities-and-applications-generative-ai</x:v>
      </x:c>
      <x:c r="K7" s="35" t="str">
        <x:v>Fokus auf geschäftliche Chancen und Einsatzfelder generativer AI.</x:v>
      </x:c>
      <x:c r="L7" s="35" t="str">
        <x:v>15.07.2026</x:v>
      </x:c>
    </x:row>
    <x:row r="8">
      <x:c r="A8" s="35" t="str">
        <x:v>Technical &amp; AI Literacy</x:v>
      </x:c>
      <x:c r="B8" s="35" t="str">
        <x:v>Technologieverständnis auf Entscheidungsebene</x:v>
      </x:c>
      <x:c r="C8" s="35" t="str">
        <x:v>Grundverständnis von Generative AI, Modellen und Einsatzgrenzen</x:v>
      </x:c>
      <x:c r="D8" s="35" t="str">
        <x:v>Google Cloud Skills Boost</x:v>
      </x:c>
      <x:c r="E8" s="35" t="str">
        <x:v>Introduction to Generative AI</x:v>
      </x:c>
      <x:c r="F8" s="49" t="str">
        <x:v>Aktuell</x:v>
      </x:c>
      <x:c r="G8" s="35" t="str">
        <x:v>Jederzeit (selbstgesteuert)</x:v>
      </x:c>
      <x:c r="H8" s="35" t="str">
        <x:v>Online</x:v>
      </x:c>
      <x:c r="I8" s="35" t="str">
        <x:v>Lernmodul aktiv</x:v>
      </x:c>
      <x:c r="J8" s="35" t="str">
        <x:v>https://www.cloudskillsboost.google/course_templates/536</x:v>
      </x:c>
      <x:c r="K8" s="35" t="str">
        <x:v>Kompakter Einstieg in Grundlagen und Anwendungen generativer AI.</x:v>
      </x:c>
      <x:c r="L8" s="35" t="str">
        <x:v>15.07.2026</x:v>
      </x:c>
    </x:row>
    <x:row r="9">
      <x:c r="A9" s="35" t="str">
        <x:v>Technical &amp; AI Literacy</x:v>
      </x:c>
      <x:c r="B9" s="35" t="str">
        <x:v>Technologieverständnis auf Entscheidungsebene</x:v>
      </x:c>
      <x:c r="C9" s="35" t="str">
        <x:v>Generative AI in Business-Kontexten sicher einordnen</x:v>
      </x:c>
      <x:c r="D9" s="35" t="str">
        <x:v>AWS Training</x:v>
      </x:c>
      <x:c r="E9" s="35" t="str">
        <x:v>Generative AI for Executives</x:v>
      </x:c>
      <x:c r="F9" s="49" t="str">
        <x:v>Aktuell</x:v>
      </x:c>
      <x:c r="G9" s="35" t="str">
        <x:v>Termine / Trainingspartnerabhängig</x:v>
      </x:c>
      <x:c r="H9" s="35" t="str">
        <x:v>Instructor-led / virtuell oder vor Ort</x:v>
      </x:c>
      <x:c r="I9" s="35" t="str">
        <x:v>Aktuelle Kursseite</x:v>
      </x:c>
      <x:c r="J9" s="35" t="str">
        <x:v>https://aws.amazon.com/training/classroom/generative-ai-for-executives/</x:v>
      </x:c>
      <x:c r="K9" s="35" t="str">
        <x:v>Grundbegriffe, Business Value und verantwortungsvolle Einführung.</x:v>
      </x:c>
      <x:c r="L9" s="35" t="str">
        <x:v>15.07.2026</x:v>
      </x:c>
    </x:row>
    <x:row r="10">
      <x:c r="A10" s="35" t="str">
        <x:v>Technical &amp; AI Literacy</x:v>
      </x:c>
      <x:c r="B10" s="35" t="str">
        <x:v>Technologieverständnis auf Entscheidungsebene</x:v>
      </x:c>
      <x:c r="C10" s="35" t="str">
        <x:v>AI-Projekte planen, strategisch einordnen und verantwortungsvoll skalieren</x:v>
      </x:c>
      <x:c r="D10" s="35" t="str">
        <x:v>Microsoft Learn</x:v>
      </x:c>
      <x:c r="E10" s="35" t="str">
        <x:v>Transform your business with Microsoft AI</x:v>
      </x:c>
      <x:c r="F10" s="49" t="str">
        <x:v>Aktuell</x:v>
      </x:c>
      <x:c r="G10" s="35" t="str">
        <x:v>Jederzeit (selbstgesteuert)</x:v>
      </x:c>
      <x:c r="H10" s="35" t="str">
        <x:v>Online</x:v>
      </x:c>
      <x:c r="I10" s="35" t="str">
        <x:v>Kostenloser Lernpfad</x:v>
      </x:c>
      <x:c r="J10" s="35" t="str">
        <x:v>https://learn.microsoft.com/en-us/training/paths/transform-your-business-with-microsoft-ai/</x:v>
      </x:c>
      <x:c r="K10" s="35" t="str">
        <x:v>Lernpfad speziell für Business Leader und Entscheider.</x:v>
      </x:c>
      <x:c r="L10" s="35" t="str">
        <x:v>15.07.2026</x:v>
      </x:c>
    </x:row>
    <x:row r="11">
      <x:c r="A11" s="35" t="str">
        <x:v>Governance Skills</x:v>
      </x:c>
      <x:c r="B11" s="35" t="str">
        <x:v>Board-Level Kontrolle &amp; Eskalation</x:v>
      </x:c>
      <x:c r="C11" s="35" t="str">
        <x:v>AI-Strategie, Risiken und Ethik auf Board-Ebene überwachen</x:v>
      </x:c>
      <x:c r="D11" s="35" t="str">
        <x:v>INSEAD</x:v>
      </x:c>
      <x:c r="E11" s="35" t="str">
        <x:v>AI for Boards</x:v>
      </x:c>
      <x:c r="F11" s="49" t="str">
        <x:v>Aktuell</x:v>
      </x:c>
      <x:c r="G11" s="35" t="str">
        <x:v>01.12.2026</x:v>
      </x:c>
      <x:c r="H11" s="35" t="str">
        <x:v>Präsenz – Fontainebleau, 4 Tage</x:v>
      </x:c>
      <x:c r="I11" s="35" t="str">
        <x:v>Bewerbung / Anmeldung möglich</x:v>
      </x:c>
      <x:c r="J11" s="35" t="str">
        <x:v>https://www.insead.edu/executive-education/corporate-governance/ai-boards</x:v>
      </x:c>
      <x:c r="K11" s="35" t="str">
        <x:v>Executive-Programm für Board Oversight, Risiko und verantwortungsvolle AI.</x:v>
      </x:c>
      <x:c r="L11" s="35" t="str">
        <x:v>15.07.2026</x:v>
      </x:c>
    </x:row>
    <x:row r="12">
      <x:c r="A12" s="35" t="str">
        <x:v>Governance Skills</x:v>
      </x:c>
      <x:c r="B12" s="35" t="str">
        <x:v>Gesamtverantwortung für Unternehmensrisiken</x:v>
      </x:c>
      <x:c r="C12" s="35" t="str">
        <x:v>Professionelle AI-Governance-Strukturen aufbauen</x:v>
      </x:c>
      <x:c r="D12" s="35" t="str">
        <x:v>IAPP</x:v>
      </x:c>
      <x:c r="E12" s="35" t="str">
        <x:v>Artificial Intelligence Governance Professional (AIGP) Training</x:v>
      </x:c>
      <x:c r="F12" s="49" t="str">
        <x:v>Aktuell</x:v>
      </x:c>
      <x:c r="G12" s="35" t="str">
        <x:v>Mehrere Termine und Formate</x:v>
      </x:c>
      <x:c r="H12" s="35" t="str">
        <x:v>Online, live oder Präsenz</x:v>
      </x:c>
      <x:c r="I12" s="35" t="str">
        <x:v>Training und Prüfungsvorbereitung verfügbar</x:v>
      </x:c>
      <x:c r="J12" s="35" t="str">
        <x:v>https://iapp.org/train/aigp-training</x:v>
      </x:c>
      <x:c r="K12" s="35" t="str">
        <x:v>International anerkanntes Training zu AI-Governance und Risikomanagement.</x:v>
      </x:c>
      <x:c r="L12" s="35" t="str">
        <x:v>15.07.2026</x:v>
      </x:c>
    </x:row>
    <x:row r="13">
      <x:c r="A13" s="35" t="str">
        <x:v>Governance Skills</x:v>
      </x:c>
      <x:c r="B13" s="35" t="str">
        <x:v>Verantwortung für Reputation &amp; Haftung</x:v>
      </x:c>
      <x:c r="C13" s="35" t="str">
        <x:v>Responsible-AI-Prinzipien in Richtlinien und Kontrollprozesse übersetzen</x:v>
      </x:c>
      <x:c r="D13" s="35" t="str">
        <x:v>Microsoft Learn</x:v>
      </x:c>
      <x:c r="E13" s="35" t="str">
        <x:v>Embrace responsible AI principles and practices</x:v>
      </x:c>
      <x:c r="F13" s="49" t="str">
        <x:v>Aktuell</x:v>
      </x:c>
      <x:c r="G13" s="35" t="str">
        <x:v>Jederzeit (selbstgesteuert)</x:v>
      </x:c>
      <x:c r="H13" s="35" t="str">
        <x:v>Online</x:v>
      </x:c>
      <x:c r="I13" s="35" t="str">
        <x:v>Kostenloses Lernmodul</x:v>
      </x:c>
      <x:c r="J13" s="35" t="str">
        <x:v>https://learn.microsoft.com/en-us/training/modules/embrace-responsible-ai-principles-practices/</x:v>
      </x:c>
      <x:c r="K13" s="35" t="str">
        <x:v>Praxisorientierter Einstieg in Responsible-AI-Grundsätze.</x:v>
      </x:c>
      <x:c r="L13" s="35" t="str">
        <x:v>15.07.2026</x:v>
      </x:c>
    </x:row>
    <x:row r="14">
      <x:c r="A14" s="35" t="str">
        <x:v>Data &amp; Analytics Skills</x:v>
      </x:c>
      <x:c r="B14" s="35" t="str">
        <x:v>Nutzung von KPIs &amp; Management-Dashboards</x:v>
      </x:c>
      <x:c r="C14" s="35" t="str">
        <x:v>Daten analysieren und Managemententscheidungen fundieren</x:v>
      </x:c>
      <x:c r="D14" s="35" t="str">
        <x:v>Harvard Business School Online</x:v>
      </x:c>
      <x:c r="E14" s="35" t="str">
        <x:v>Business Analytics</x:v>
      </x:c>
      <x:c r="F14" s="49" t="str">
        <x:v>Aktuell</x:v>
      </x:c>
      <x:c r="G14" s="35" t="str">
        <x:v>Rollierende Online-Kohorten</x:v>
      </x:c>
      <x:c r="H14" s="35" t="str">
        <x:v>Online</x:v>
      </x:c>
      <x:c r="I14" s="35" t="str">
        <x:v>Anmeldung über Anbieter</x:v>
      </x:c>
      <x:c r="J14" s="35" t="str">
        <x:v>https://online.hbs.edu/courses/business-analytics</x:v>
      </x:c>
      <x:c r="K14" s="35" t="str">
        <x:v>Business-Analytics-Grundlagen für datenbasierte Entscheidungen.</x:v>
      </x:c>
      <x:c r="L14" s="35" t="str">
        <x:v>15.07.2026</x:v>
      </x:c>
    </x:row>
    <x:row r="15">
      <x:c r="A15" s="35" t="str">
        <x:v>Data &amp; Analytics Skills</x:v>
      </x:c>
      <x:c r="B15" s="35" t="str">
        <x:v>Nutzung von KPIs &amp; Management-Dashboards</x:v>
      </x:c>
      <x:c r="C15" s="35" t="str">
        <x:v>Daten in Power BI aufbereiten, visualisieren und interpretieren</x:v>
      </x:c>
      <x:c r="D15" s="35" t="str">
        <x:v>Microsoft Learn</x:v>
      </x:c>
      <x:c r="E15" s="35" t="str">
        <x:v>Power BI learning paths</x:v>
      </x:c>
      <x:c r="F15" s="49" t="str">
        <x:v>Aktuell</x:v>
      </x:c>
      <x:c r="G15" s="35" t="str">
        <x:v>Jederzeit (selbstgesteuert)</x:v>
      </x:c>
      <x:c r="H15" s="35" t="str">
        <x:v>Online</x:v>
      </x:c>
      <x:c r="I15" s="35" t="str">
        <x:v>Kostenlose Lernpfade</x:v>
      </x:c>
      <x:c r="J15" s="35" t="str">
        <x:v>https://learn.microsoft.com/en-us/training/powerplatform/power-bi</x:v>
      </x:c>
      <x:c r="K15" s="35" t="str">
        <x:v>Offizielle Microsoft-Lernpfade für Power BI und Management-Dashboards.</x:v>
      </x:c>
      <x:c r="L15" s="35" t="str">
        <x:v>15.07.2026</x:v>
      </x:c>
    </x:row>
    <x:row r="16">
      <x:c r="A16" s="35" t="str">
        <x:v>Data &amp; Analytics Skills</x:v>
      </x:c>
      <x:c r="B16" s="35" t="str">
        <x:v>Verständnis von Reporting &amp; Forecasts</x:v>
      </x:c>
      <x:c r="C16" s="35" t="str">
        <x:v>Data-Science-Projekte auf Executive-Ebene strukturieren und steuern</x:v>
      </x:c>
      <x:c r="D16" s="35" t="str">
        <x:v>Coursera / Johns Hopkins University</x:v>
      </x:c>
      <x:c r="E16" s="35" t="str">
        <x:v>Executive Data Science Specialization</x:v>
      </x:c>
      <x:c r="F16" s="49" t="str">
        <x:v>Aktuell</x:v>
      </x:c>
      <x:c r="G16" s="35" t="str">
        <x:v>Jederzeit (flexibel)</x:v>
      </x:c>
      <x:c r="H16" s="35" t="str">
        <x:v>Online</x:v>
      </x:c>
      <x:c r="I16" s="35" t="str">
        <x:v>Einschreibung möglich</x:v>
      </x:c>
      <x:c r="J16" s="35" t="str">
        <x:v>https://www.coursera.org/specializations/executive-data-science</x:v>
      </x:c>
      <x:c r="K16" s="35" t="str">
        <x:v>Executive-Fokus auf Data-Science-Teams, Entscheidungen und Projektsteuerung.</x:v>
      </x:c>
      <x:c r="L16" s="35" t="str">
        <x:v>15.07.2026</x:v>
      </x:c>
    </x:row>
    <x:row r="17">
      <x:c r="A17" s="35" t="str">
        <x:v>Compliance Skills</x:v>
      </x:c>
      <x:c r="B17" s="35" t="str">
        <x:v>DSGVO, ESG, Corporate Governance</x:v>
      </x:c>
      <x:c r="C17" s="35" t="str">
        <x:v>EU AI Act, Rollen, Dokumentation und Compliance-Prozesse umsetzen</x:v>
      </x:c>
      <x:c r="D17" s="35" t="str">
        <x:v>Bitkom Akademie</x:v>
      </x:c>
      <x:c r="E17" s="35" t="str">
        <x:v>KI-Compliance Beauftragter</x:v>
      </x:c>
      <x:c r="F17" s="49" t="str">
        <x:v>Aktuell</x:v>
      </x:c>
      <x:c r="G17" s="35" t="str">
        <x:v>Termine im Buchungsbereich</x:v>
      </x:c>
      <x:c r="H17" s="35" t="str">
        <x:v>Online</x:v>
      </x:c>
      <x:c r="I17" s="35" t="str">
        <x:v>Buchung / Anfrage</x:v>
      </x:c>
      <x:c r="J17" s="35" t="str">
        <x:v>https://bitkom-akademie.de/lehrgang/KI-compliance-beauftragter</x:v>
      </x:c>
      <x:c r="K17" s="35" t="str">
        <x:v>Praxisorientierter Lehrgang für AI-Compliance in Unternehmen.</x:v>
      </x:c>
      <x:c r="L17" s="35" t="str">
        <x:v>15.07.2026</x:v>
      </x:c>
    </x:row>
    <x:row r="18">
      <x:c r="A18" s="35" t="str">
        <x:v>Compliance Skills</x:v>
      </x:c>
      <x:c r="B18" s="35" t="str">
        <x:v>Haftung &amp; regulatorische Verantwortung</x:v>
      </x:c>
      <x:c r="C18" s="35" t="str">
        <x:v>AI-Risiken, gesetzliche Pflichten und interne Zuständigkeiten koordinieren</x:v>
      </x:c>
      <x:c r="D18" s="35" t="str">
        <x:v>TÜV Rheinland Akademie</x:v>
      </x:c>
      <x:c r="E18" s="35" t="str">
        <x:v>AI Coordinator (TÜV)</x:v>
      </x:c>
      <x:c r="F18" s="49" t="str">
        <x:v>Aktuell</x:v>
      </x:c>
      <x:c r="G18" s="35" t="str">
        <x:v>Mehrere Termine laut Anbieter</x:v>
      </x:c>
      <x:c r="H18" s="35" t="str">
        <x:v>Online oder Präsenz</x:v>
      </x:c>
      <x:c r="I18" s="35" t="str">
        <x:v>Buchbare Weiterbildung</x:v>
      </x:c>
      <x:c r="J18" s="35" t="str">
        <x:v>https://akademie.tuv.com/weiterbildungen/ai-coordinator-tuev-32159806</x:v>
      </x:c>
      <x:c r="K18" s="35" t="str">
        <x:v>Rollen- und Praxiswissen zur verantwortlichen AI-Einführung.</x:v>
      </x:c>
      <x:c r="L18" s="35" t="str">
        <x:v>15.07.2026</x:v>
      </x:c>
    </x:row>
    <x:row r="19">
      <x:c r="A19" s="35" t="str">
        <x:v>Compliance Skills</x:v>
      </x:c>
      <x:c r="B19" s="35" t="str">
        <x:v>Zusammenarbeit mit Legal, Audit, Board</x:v>
      </x:c>
      <x:c r="C19" s="35" t="str">
        <x:v>AI-Managementsysteme nach ISO/IEC 42001 prüfen</x:v>
      </x:c>
      <x:c r="D19" s="35" t="str">
        <x:v>Bitkom Akademie</x:v>
      </x:c>
      <x:c r="E19" s="35" t="str">
        <x:v>Auditor für KI-Managementsysteme nach ISO/IEC 42001</x:v>
      </x:c>
      <x:c r="F19" s="49" t="str">
        <x:v>Aktuell</x:v>
      </x:c>
      <x:c r="G19" s="35" t="str">
        <x:v>Termine im Buchungsbereich</x:v>
      </x:c>
      <x:c r="H19" s="35" t="str">
        <x:v>Online</x:v>
      </x:c>
      <x:c r="I19" s="35" t="str">
        <x:v>Buchung / Anfrage</x:v>
      </x:c>
      <x:c r="J19" s="35" t="str">
        <x:v>https://bitkom-akademie.de/lehrgang/auditor_fuer_ki-managementsysteme_nach_ISO_IEC42001</x:v>
      </x:c>
      <x:c r="K19" s="35" t="str">
        <x:v>Auditorenqualifikation für AI-Managementsysteme und Kontrollprozesse.</x:v>
      </x:c>
      <x:c r="L19" s="35" t="str">
        <x:v>15.07.2026</x:v>
      </x:c>
    </x:row>
    <x:row r="20">
      <x:c r="A20" s="35" t="str">
        <x:v>Team &amp; Leadership Skills</x:v>
      </x:c>
      <x:c r="B20" s="35" t="str">
        <x:v>Führung des Executive Teams</x:v>
      </x:c>
      <x:c r="C20" s="35" t="str">
        <x:v>AI-gestützte Führung und Entscheidungsprozesse gestalten</x:v>
      </x:c>
      <x:c r="D20" s="35" t="str">
        <x:v>Stanford Online</x:v>
      </x:c>
      <x:c r="E20" s="35" t="str">
        <x:v>AI-Driven Leadership: Strategies for the Future</x:v>
      </x:c>
      <x:c r="F20" s="49" t="str">
        <x:v>Aktuell</x:v>
      </x:c>
      <x:c r="G20" s="35" t="str">
        <x:v>Online / nach Anbieterplanung</x:v>
      </x:c>
      <x:c r="H20" s="35" t="str">
        <x:v>Online</x:v>
      </x:c>
      <x:c r="I20" s="35" t="str">
        <x:v>Kursseite aktiv</x:v>
      </x:c>
      <x:c r="J20" s="35" t="str">
        <x:v>https://online.stanford.edu/courses/xgal0002-ai-driven-leadership-strategies-future</x:v>
      </x:c>
      <x:c r="K20" s="35" t="str">
        <x:v>Führung, Strategie und organisatorische Anpassung im AI-Zeitalter.</x:v>
      </x:c>
      <x:c r="L20" s="35" t="str">
        <x:v>15.07.2026</x:v>
      </x:c>
    </x:row>
    <x:row r="21">
      <x:c r="A21" s="35" t="str">
        <x:v>Team &amp; Leadership Skills</x:v>
      </x:c>
      <x:c r="B21" s="35" t="str">
        <x:v>Führung des Executive Teams</x:v>
      </x:c>
      <x:c r="C21" s="35" t="str">
        <x:v>AI-Potenziale in Teams und Organisationen identifizieren und umsetzen</x:v>
      </x:c>
      <x:c r="D21" s="35" t="str">
        <x:v>MIT Sloan Executive Education</x:v>
      </x:c>
      <x:c r="E21" s="35" t="str">
        <x:v>Leading the AI-Driven Organization</x:v>
      </x:c>
      <x:c r="F21" s="49" t="str">
        <x:v>Aktuell</x:v>
      </x:c>
      <x:c r="G21" s="35" t="str">
        <x:v>Nächste Termine laut Anbieter</x:v>
      </x:c>
      <x:c r="H21" s="35" t="str">
        <x:v>Executive Education</x:v>
      </x:c>
      <x:c r="I21" s="35" t="str">
        <x:v>Anmeldung / Terminauswahl</x:v>
      </x:c>
      <x:c r="J21" s="35" t="str">
        <x:v>https://executive.mit.edu/course/leading-the-ai-driven-organization/a054v00000r9U5cAAE.html</x:v>
      </x:c>
      <x:c r="K21" s="35" t="str">
        <x:v>Executive-Kurs zur Führung AI-getriebener Organisationen.</x:v>
      </x:c>
      <x:c r="L21" s="35" t="str">
        <x:v>15.07.2026</x:v>
      </x:c>
    </x:row>
    <x:row r="22">
      <x:c r="A22" s="35" t="str">
        <x:v>Team &amp; Leadership Skills</x:v>
      </x:c>
      <x:c r="B22" s="35" t="str">
        <x:v>Talent- &amp; Nachfolgeplanung</x:v>
      </x:c>
      <x:c r="C22" s="35" t="str">
        <x:v>Human Capital, Rollen und Organisationsdesign im AI-Zeitalter ausrichten</x:v>
      </x:c>
      <x:c r="D22" s="35" t="str">
        <x:v>INSEAD</x:v>
      </x:c>
      <x:c r="E22" s="35" t="str">
        <x:v>Human Capital in the Age of AI</x:v>
      </x:c>
      <x:c r="F22" s="49" t="str">
        <x:v>Aktuell</x:v>
      </x:c>
      <x:c r="G22" s="35" t="str">
        <x:v>Termine laut Anbieter</x:v>
      </x:c>
      <x:c r="H22" s="35" t="str">
        <x:v>Executive Education</x:v>
      </x:c>
      <x:c r="I22" s="35" t="str">
        <x:v>Programmseite aktiv</x:v>
      </x:c>
      <x:c r="J22" s="35" t="str">
        <x:v>https://www.insead.edu/executive-education/top-management/human-capital-age-ai</x:v>
      </x:c>
      <x:c r="K22" s="35" t="str">
        <x:v>Fokus auf Workforce, Talente und Organisationsgestaltung mit AI.</x:v>
      </x:c>
      <x:c r="L22" s="35" t="str">
        <x:v>15.07.2026</x:v>
      </x:c>
    </x:row>
    <x:row r="23">
      <x:c r="A23" s="35" t="str">
        <x:v>Platform &amp; Strategic Tool Skills</x:v>
      </x:c>
      <x:c r="B23" s="35" t="str">
        <x:v>Kenntnis zentraler Enterprise-Plattformen (SAP, Salesforce, Microsoft)</x:v>
      </x:c>
      <x:c r="C23" s="35" t="str">
        <x:v>SAP Business AI und Einbettung in Enterprise-Prozesse strategisch einordnen</x:v>
      </x:c>
      <x:c r="D23" s="35" t="str">
        <x:v>SAP Learning</x:v>
      </x:c>
      <x:c r="E23" s="35" t="str">
        <x:v>Positioning SAP Business AI</x:v>
      </x:c>
      <x:c r="F23" s="49" t="str">
        <x:v>Aktuell</x:v>
      </x:c>
      <x:c r="G23" s="35" t="str">
        <x:v>Jederzeit (selbstgesteuert)</x:v>
      </x:c>
      <x:c r="H23" s="35" t="str">
        <x:v>Online</x:v>
      </x:c>
      <x:c r="I23" s="35" t="str">
        <x:v>Kostenloser Learning Journey</x:v>
      </x:c>
      <x:c r="J23" s="35" t="str">
        <x:v>https://learning.sap.com/learning-journeys/positioning-sap-business-ai-1</x:v>
      </x:c>
      <x:c r="K23" s="35" t="str">
        <x:v>Business-Fokus auf Nutzen und Positionierung von SAP Business AI.</x:v>
      </x:c>
      <x:c r="L23" s="35" t="str">
        <x:v>15.07.2026</x:v>
      </x:c>
    </x:row>
    <x:row r="24">
      <x:c r="A24" s="35" t="str">
        <x:v>Platform &amp; Strategic Tool Skills</x:v>
      </x:c>
      <x:c r="B24" s="35" t="str">
        <x:v>Kenntnis der wichtigsten Cloud- &amp; AI-Plattformen</x:v>
      </x:c>
      <x:c r="C24" s="35" t="str">
        <x:v>Google-Cloud- und Generative-AI-Angebote für Transformation bewerten</x:v>
      </x:c>
      <x:c r="D24" s="35" t="str">
        <x:v>Google Cloud Skills Boost</x:v>
      </x:c>
      <x:c r="E24" s="35" t="str">
        <x:v>Generative AI Leader Learning Path</x:v>
      </x:c>
      <x:c r="F24" s="49" t="str">
        <x:v>Aktuell</x:v>
      </x:c>
      <x:c r="G24" s="35" t="str">
        <x:v>Jederzeit (on-demand)</x:v>
      </x:c>
      <x:c r="H24" s="35" t="str">
        <x:v>Online</x:v>
      </x:c>
      <x:c r="I24" s="35" t="str">
        <x:v>Lernpfad aktiv</x:v>
      </x:c>
      <x:c r="J24" s="35" t="str">
        <x:v>https://www.cloudskillsboost.google/paths/1951</x:v>
      </x:c>
      <x:c r="K24" s="35" t="str">
        <x:v>Nicht-technischer Lernpfad für Führungskräfte und Transformation.</x:v>
      </x:c>
      <x:c r="L24" s="35" t="str">
        <x:v>15.07.2026</x:v>
      </x:c>
    </x:row>
    <x:row r="25">
      <x:c r="A25" s="35" t="str">
        <x:v>Platform &amp; Strategic Tool Skills</x:v>
      </x:c>
      <x:c r="B25" s="35" t="str">
        <x:v>Kenntnis zentraler Enterprise-Plattformen (SAP, Salesforce, Microsoft)</x:v>
      </x:c>
      <x:c r="C25" s="35" t="str">
        <x:v>Agentforce-Funktionen, Business Impact und Einsatzfälle verstehen</x:v>
      </x:c>
      <x:c r="D25" s="35" t="str">
        <x:v>Salesforce Trailhead</x:v>
      </x:c>
      <x:c r="E25" s="35" t="str">
        <x:v>Become an Agentblazer Champion 2026</x:v>
      </x:c>
      <x:c r="F25" s="49" t="str">
        <x:v>Aktuell</x:v>
      </x:c>
      <x:c r="G25" s="35" t="str">
        <x:v>Jederzeit (selbstgesteuert)</x:v>
      </x:c>
      <x:c r="H25" s="35" t="str">
        <x:v>Online</x:v>
      </x:c>
      <x:c r="I25" s="35" t="str">
        <x:v>Kostenloser Trail</x:v>
      </x:c>
      <x:c r="J25" s="35" t="str">
        <x:v>https://trailhead.salesforce.com/content/learn/trails/become-an-agentblazer-champion-2026</x:v>
      </x:c>
      <x:c r="K25" s="35" t="str">
        <x:v>Aktueller 2026-Lernpfad zu Salesforce Agentforce und AI-Agenten.</x:v>
      </x:c>
      <x:c r="L25" s="35" t="str">
        <x:v>15.07.2026</x:v>
      </x:c>
    </x:row>
    <x:row r="26">
      <x:c r="A26" s="35" t="str">
        <x:v>Soft Skills</x:v>
      </x:c>
      <x:c r="B26" s="35" t="str">
        <x:v>Ethik- &amp; Werteorientierung</x:v>
      </x:c>
      <x:c r="C26" s="35" t="str">
        <x:v>Ethische Konflikte und Verantwortlichkeiten strukturiert bewerten</x:v>
      </x:c>
      <x:c r="D26" s="35" t="str">
        <x:v>Harvard Business School Online</x:v>
      </x:c>
      <x:c r="E26" s="35" t="str">
        <x:v>Leadership, Ethics, and Corporate Accountability</x:v>
      </x:c>
      <x:c r="F26" s="49" t="str">
        <x:v>Aktuell</x:v>
      </x:c>
      <x:c r="G26" s="35" t="str">
        <x:v>Nächste Kohorte ab 13.08.2026</x:v>
      </x:c>
      <x:c r="H26" s="35" t="str">
        <x:v>Online – 6 Wochen</x:v>
      </x:c>
      <x:c r="I26" s="35" t="str">
        <x:v>Anmeldung möglich</x:v>
      </x:c>
      <x:c r="J26" s="35" t="str">
        <x:v>https://online.hbs.edu/courses/leadership-ethics-corporate-accountability</x:v>
      </x:c>
      <x:c r="K26" s="35" t="str">
        <x:v>Ethik, Verantwortung und Stakeholder-Entscheidungen für Führungskräfte.</x:v>
      </x:c>
      <x:c r="L26" s="35" t="str">
        <x:v>15.07.2026</x:v>
      </x:c>
    </x:row>
    <x:row r="27">
      <x:c r="A27" s="35" t="str">
        <x:v>Soft Skills</x:v>
      </x:c>
      <x:c r="B27" s="35" t="str">
        <x:v>Entscheidungsstärke unter Unsicherheit</x:v>
      </x:c>
      <x:c r="C27" s="35" t="str">
        <x:v>Komplexe Entscheidungen evidenzbasiert und strukturiert treffen</x:v>
      </x:c>
      <x:c r="D27" s="35" t="str">
        <x:v>Stanford Online</x:v>
      </x:c>
      <x:c r="E27" s="35" t="str">
        <x:v>Making High-Quality Decisions</x:v>
      </x:c>
      <x:c r="F27" s="49" t="str">
        <x:v>Aktuell</x:v>
      </x:c>
      <x:c r="G27" s="35" t="str">
        <x:v>Online / nach Anbieterplanung</x:v>
      </x:c>
      <x:c r="H27" s="35" t="str">
        <x:v>Online</x:v>
      </x:c>
      <x:c r="I27" s="35" t="str">
        <x:v>Kursseite aktiv</x:v>
      </x:c>
      <x:c r="J27" s="35" t="str">
        <x:v>https://online.stanford.edu/courses/xelp240-making-high-quality-decisions</x:v>
      </x:c>
      <x:c r="K27" s="35" t="str">
        <x:v>Methoden für Entscheidungsqualität, Unsicherheit und Zielkonflikte.</x:v>
      </x:c>
      <x:c r="L27" s="35" t="str">
        <x:v>15.07.2026</x:v>
      </x:c>
    </x:row>
    <x:row r="28">
      <x:c r="A28" s="35" t="str">
        <x:v>Soft Skills</x:v>
      </x:c>
      <x:c r="B28" s="35" t="str">
        <x:v>Strategisches Urteilsvermögen</x:v>
      </x:c>
      <x:c r="C28" s="35" t="str">
        <x:v>Zukunftsszenarien entwickeln und langfristige Folgen antizipieren</x:v>
      </x:c>
      <x:c r="D28" s="35" t="str">
        <x:v>Stanford d.school</x:v>
      </x:c>
      <x:c r="E28" s="35" t="str">
        <x:v>Futures Thinking for Strategic Decision-Making</x:v>
      </x:c>
      <x:c r="F28" s="49" t="str">
        <x:v>Aktuell</x:v>
      </x:c>
      <x:c r="G28" s="35" t="str">
        <x:v>Termine laut Anbieter</x:v>
      </x:c>
      <x:c r="H28" s="35" t="str">
        <x:v>Online oder Workshopformat</x:v>
      </x:c>
      <x:c r="I28" s="35" t="str">
        <x:v>Veranstaltungsseite aktiv</x:v>
      </x:c>
      <x:c r="J28" s="35" t="str">
        <x:v>https://dschool.stanford.edu/events/futures-thinking-for-strategic-decision-making</x:v>
      </x:c>
      <x:c r="K28" s="35" t="str">
        <x:v>Futures Thinking für strategische Entscheidungen und Unsicherheit.</x:v>
      </x:c>
      <x:c r="L28" s="35" t="str">
        <x:v>15.07.2026</x:v>
      </x:c>
    </x:row>
    <x:row r="29">
      <x:c r="A29" s="35" t="str">
        <x:v>Hybrid Work &amp; Future Capability Skills</x:v>
      </x:c>
      <x:c r="B29" s="35" t="str">
        <x:v>Führung verteilter Teams</x:v>
      </x:c>
      <x:c r="C29" s="35" t="str">
        <x:v>Systeme für Zusammenarbeit, Leistung, Feedback und Verantwortlichkeit entwickeln</x:v>
      </x:c>
      <x:c r="D29" s="35" t="str">
        <x:v>Coursera / SkillUp</x:v>
      </x:c>
      <x:c r="E29" s="35" t="str">
        <x:v>Remote Team Management Specialization</x:v>
      </x:c>
      <x:c r="F29" s="80" t="str">
        <x:v>Aktuell</x:v>
      </x:c>
      <x:c r="G29" s="35" t="str">
        <x:v>Jederzeit; ca. 12 Wochen bei 2 Std./Woche</x:v>
      </x:c>
      <x:c r="H29" s="35" t="str">
        <x:v>Online</x:v>
      </x:c>
      <x:c r="I29" s="35" t="str">
        <x:v>Einschreibung möglich</x:v>
      </x:c>
      <x:c r="J29" s="35" t="str">
        <x:v>https://www.coursera.org/specializations/remoteteammanagement</x:v>
      </x:c>
      <x:c r="K29" s="35" t="str">
        <x:v>Umfassende Spezialisierung für Remote Readiness, Kultur, Zusammenarbeit und Performance.</x:v>
      </x:c>
      <x:c r="L29" s="35" t="str">
        <x:v>16.07.2026</x:v>
      </x:c>
    </x:row>
    <x:row r="30">
      <x:c r="A30" s="35" t="str">
        <x:v>Hybrid Work &amp; Future Capability Skills</x:v>
      </x:c>
      <x:c r="B30" s="35" t="str">
        <x:v>Digitale Kommunikation und Zusammenarbeit</x:v>
      </x:c>
      <x:c r="C30" s="35" t="str">
        <x:v>Vertrauen, Beziehungen und wirksame Kommunikation in virtuellen Teams aufbauen</x:v>
      </x:c>
      <x:c r="D30" s="35" t="str">
        <x:v>Coursera / University of California, Irvine</x:v>
      </x:c>
      <x:c r="E30" s="35" t="str">
        <x:v>Communication in Remote Work</x:v>
      </x:c>
      <x:c r="F30" s="80" t="str">
        <x:v>Aktuell</x:v>
      </x:c>
      <x:c r="G30" s="35" t="str">
        <x:v>Jederzeit; ca. 5 Stunden</x:v>
      </x:c>
      <x:c r="H30" s="35" t="str">
        <x:v>Online</x:v>
      </x:c>
      <x:c r="I30" s="35" t="str">
        <x:v>Einschreibung möglich</x:v>
      </x:c>
      <x:c r="J30" s="35" t="str">
        <x:v>https://www.coursera.org/learn/communication-in-remote-work</x:v>
      </x:c>
      <x:c r="K30" s="35" t="str">
        <x:v>Passend für virtuelle Kommunikation, Vertrauen und Zusammenarbeit.</x:v>
      </x:c>
      <x:c r="L30" s="35" t="str">
        <x:v>16.07.2026</x:v>
      </x:c>
    </x:row>
    <x:row r="31">
      <x:c r="A31" s="35" t="str">
        <x:v>Hybrid Work &amp; Future Capability Skills</x:v>
      </x:c>
      <x:c r="B31" s="35" t="str">
        <x:v>Future Capability und anpassungsfähige Führung</x:v>
      </x:c>
      <x:c r="C31" s="35" t="str">
        <x:v>Inklusive, leistungsstarke und zukunftsfähige Teams in hybriden Strukturen entwickeln</x:v>
      </x:c>
      <x:c r="D31" s="35" t="str">
        <x:v>Coursera / Skillshare</x:v>
      </x:c>
      <x:c r="E31" s="35" t="str">
        <x:v>Leadership: Being a Confident and Effective Team Leader Specialization</x:v>
      </x:c>
      <x:c r="F31" s="80" t="str">
        <x:v>Aktuell</x:v>
      </x:c>
      <x:c r="G31" s="35" t="str">
        <x:v>Jederzeit; ca. 4 Wochen</x:v>
      </x:c>
      <x:c r="H31" s="35" t="str">
        <x:v>Online</x:v>
      </x:c>
      <x:c r="I31" s="35" t="str">
        <x:v>Einschreibung möglich</x:v>
      </x:c>
      <x:c r="J31" s="35" t="str">
        <x:v>https://www.coursera.org/specializations/leadershipbeingaconfidentandeffectiveteamleader</x:v>
      </x:c>
      <x:c r="K31" s="35" t="str">
        <x:v>Hybrid Leadership, digitale Zusammenarbeit, Feedback, Inklusion und future-ready Teams.</x:v>
      </x:c>
      <x:c r="L31" s="35" t="str">
        <x:v>16.07.2026</x:v>
      </x:c>
    </x:row>
  </x:sheetData>
  <x:mergeCells>
    <x:mergeCell ref="A1:L1"/>
    <x:mergeCell ref="A2:L2"/>
  </x:mergeCells>
  <x:pageMargins left="0.7" right="0.7" top="0.75" bottom="0.75" header="0.3" footer="0.3"/>
  <x:tableParts count="1">
    <x:tablePart xmlns:r="http://schemas.openxmlformats.org/officeDocument/2006/relationships" r:id="Ra2082aea0e214c6a"/>
  </x:tableParts>
</x:worksheet>
</file>

<file path=xl/worksheets/sheet5.xml><?xml version="1.0" encoding="utf-8"?>
<x:worksheet xmlns:x="http://schemas.openxmlformats.org/spreadsheetml/2006/main">
  <x:sheetFormatPr defaultRowHeight="15"/>
  <x:cols>
    <x:col min="1" max="1" width="34" hidden="0" customWidth="1"/>
    <x:col min="2" max="2" width="60" hidden="0" customWidth="1"/>
    <x:col min="3" max="3" width="52" hidden="0" customWidth="1"/>
    <x:col min="4" max="4" width="16" hidden="0" customWidth="1"/>
    <x:col min="5" max="5" width="16" hidden="0" customWidth="1"/>
    <x:col min="6" max="6" width="16" hidden="0" customWidth="1"/>
  </x:cols>
  <x:sheetData>
    <x:row r="1">
      <x:c r="A1" s="5" t="str">
        <x:v>Legende, Methodik und Quellenbasis</x:v>
      </x:c>
      <x:c r="B1" s="5"/>
      <x:c r="C1" s="5"/>
      <x:c r="D1" s="5"/>
      <x:c r="E1" s="5"/>
      <x:c r="F1" s="5"/>
    </x:row>
    <x:row r="3">
      <x:c r="A3" s="22" t="str">
        <x:v>Begriff</x:v>
      </x:c>
      <x:c r="B3" s="22" t="str">
        <x:v>Bedeutung</x:v>
      </x:c>
    </x:row>
    <x:row r="4">
      <x:c r="A4" s="33" t="str">
        <x:v>Aktuell</x:v>
      </x:c>
      <x:c r="B4" s="33" t="str">
        <x:v>Offizielle Kurs- oder Programmseite ist am Prüfdatum erreichbar.</x:v>
      </x:c>
    </x:row>
    <x:row r="5">
      <x:c r="A5" s="33" t="str">
        <x:v>Aktiv – Termin offen</x:v>
      </x:c>
      <x:c r="B5" s="33" t="str">
        <x:v>Angebot existiert, aber ein neuer öffentlicher Starttermin ist nicht bestätigt.</x:v>
      </x:c>
    </x:row>
    <x:row r="6">
      <x:c r="A6" s="33" t="str">
        <x:v>Ersatz</x:v>
      </x:c>
      <x:c r="B6" s="33" t="str">
        <x:v>Altes Angebot wurde aus der Hauptliste entfernt und durch ein aktuelles Angebot ersetzt.</x:v>
      </x:c>
    </x:row>
    <x:row r="7">
      <x:c r="A7" s="33" t="str">
        <x:v>Neu recherchiert</x:v>
      </x:c>
      <x:c r="B7" s="33" t="str">
        <x:v>Zusätzliches Angebot, das nicht in der ursprünglichen Chef-Tabelle enthalten war.</x:v>
      </x:c>
    </x:row>
    <x:row r="8">
      <x:c r="A8" s="33" t="str">
        <x:v>Prüfdatum</x:v>
      </x:c>
      <x:c r="B8" s="33" t="str">
        <x:v>15.07.2026; Termine, Preise und Plätze können sich danach verändern.</x:v>
      </x:c>
    </x:row>
    <x:row r="10">
      <x:c r="A10" s="30" t="str">
        <x:v>Methodik</x:v>
      </x:c>
      <x:c r="B10" s="30"/>
      <x:c r="C10" s="30"/>
      <x:c r="D10" s="30"/>
      <x:c r="E10" s="30"/>
      <x:c r="F10" s="30"/>
    </x:row>
    <x:row r="11">
      <x:c r="A11" s="37" t="str">
        <x:v>1. Ausgangspunkt war die vom Chef bereitgestellte Kompetenzvergleichstabelle.
2. Die zwei Prüftabellen vom 30.06.2026 wurden als Vergleichsquelle verwendet.
3. Nicht mehr vorhandene, abgelöste oder eindeutig nicht auffindbare Kurse wurden aus der Hauptliste entfernt.
4. Ersatzangebote und Zusatzkurse wurden über offizielle Anbieter- und Lernplattformseiten geprüft.
5. Der 9. Skillsbereich wurde am 16.07.2026 vollständig als „Hybrid Work &amp; Future Capability Skills“ neu definiert. Dazu wurden alle fünf Kurszuordnungen neu ausgewählt.</x:v>
      </x:c>
      <x:c r="B11" s="37"/>
      <x:c r="C11" s="37"/>
      <x:c r="D11" s="37"/>
      <x:c r="E11" s="37"/>
      <x:c r="F11" s="37"/>
    </x:row>
    <x:row r="12">
      <x:c r="A12" s="37"/>
      <x:c r="B12" s="37"/>
      <x:c r="C12" s="37"/>
      <x:c r="D12" s="37"/>
      <x:c r="E12" s="37"/>
      <x:c r="F12" s="37"/>
    </x:row>
    <x:row r="13">
      <x:c r="A13" s="37"/>
      <x:c r="B13" s="37"/>
      <x:c r="C13" s="37"/>
      <x:c r="D13" s="37"/>
      <x:c r="E13" s="37"/>
      <x:c r="F13" s="37"/>
    </x:row>
    <x:row r="14">
      <x:c r="A14" s="37"/>
      <x:c r="B14" s="37"/>
      <x:c r="C14" s="37"/>
      <x:c r="D14" s="37"/>
      <x:c r="E14" s="37"/>
      <x:c r="F14" s="37"/>
    </x:row>
    <x:row r="15">
      <x:c r="A15" s="37"/>
      <x:c r="B15" s="37"/>
      <x:c r="C15" s="37"/>
      <x:c r="D15" s="37"/>
      <x:c r="E15" s="37"/>
      <x:c r="F15" s="37"/>
    </x:row>
    <x:row r="16">
      <x:c r="A16" s="37"/>
      <x:c r="B16" s="37"/>
      <x:c r="C16" s="37"/>
      <x:c r="D16" s="37"/>
      <x:c r="E16" s="37"/>
      <x:c r="F16" s="37"/>
    </x:row>
    <x:row r="18">
      <x:c r="A18" s="30" t="str">
        <x:v>Verwendete Dateiquellen</x:v>
      </x:c>
      <x:c r="B18" s="30"/>
      <x:c r="C18" s="30"/>
      <x:c r="D18" s="30"/>
      <x:c r="E18" s="30"/>
      <x:c r="F18" s="30"/>
    </x:row>
    <x:row r="19">
      <x:c r="A19" s="22" t="str">
        <x:v>Datei / Quelle</x:v>
      </x:c>
      <x:c r="B19" s="22" t="str">
        <x:v>Verwendung</x:v>
      </x:c>
      <x:c r="C19" s="33"/>
      <x:c r="D19" s="33"/>
      <x:c r="E19" s="33"/>
      <x:c r="F19" s="33"/>
    </x:row>
    <x:row r="20">
      <x:c r="A20" s="33" t="str">
        <x:v>Kopie von Kompetenzvergleich CEO vs. AI-First CEO</x:v>
      </x:c>
      <x:c r="B20" s="33" t="str">
        <x:v>Ursprüngliche Chef-Tabelle und Kompetenzstruktur</x:v>
      </x:c>
      <x:c r="C20" s="33"/>
      <x:c r="D20" s="33"/>
      <x:c r="E20" s="33"/>
      <x:c r="F20" s="33"/>
    </x:row>
    <x:row r="21">
      <x:c r="A21" s="33" t="str">
        <x:v>Kompetenzvergleich CEO AI-First mit Kursstatus, 30.06.2026</x:v>
      </x:c>
      <x:c r="B21" s="33" t="str">
        <x:v>Strukturierte Kurs-, Status- und Termindaten</x:v>
      </x:c>
      <x:c r="C21" s="33"/>
      <x:c r="D21" s="33"/>
      <x:c r="E21" s="33"/>
      <x:c r="F21" s="33"/>
    </x:row>
    <x:row r="22">
      <x:c r="A22" s="33" t="str">
        <x:v>KI Führungskurse Status, 30.06.2026</x:v>
      </x:c>
      <x:c r="B22" s="33" t="str">
        <x:v>Zusätzliche Statusprüfung und Alternativangebote</x:v>
      </x:c>
      <x:c r="C22" s="33"/>
      <x:c r="D22" s="33"/>
      <x:c r="E22" s="33"/>
      <x:c r="F22" s="33"/>
    </x:row>
    <x:row r="24">
      <x:c r="A24" s="30" t="str">
        <x:v>Wichtige offizielle Onlinequellen</x:v>
      </x:c>
      <x:c r="B24" s="30"/>
      <x:c r="C24" s="30"/>
      <x:c r="D24" s="30"/>
      <x:c r="E24" s="30"/>
      <x:c r="F24" s="30"/>
    </x:row>
    <x:row r="25">
      <x:c r="A25" s="22" t="str">
        <x:v>Anbieter</x:v>
      </x:c>
      <x:c r="B25" s="22" t="str">
        <x:v>Einsatz in der Tabelle</x:v>
      </x:c>
      <x:c r="C25" s="22" t="str">
        <x:v>Offizielle Quelle</x:v>
      </x:c>
    </x:row>
    <x:row r="26">
      <x:c r="A26" s="33" t="str">
        <x:v>Microsoft Learn</x:v>
      </x:c>
      <x:c r="B26" s="33" t="str">
        <x:v>AI-901, AB-731, Azure und Responsible AI</x:v>
      </x:c>
      <x:c r="C26" s="33" t="str">
        <x:v>https://learn.microsoft.com/</x:v>
      </x:c>
    </x:row>
    <x:row r="27">
      <x:c r="A27" s="33" t="str">
        <x:v>INSEAD Executive Education</x:v>
      </x:c>
      <x:c r="B27" s="33" t="str">
        <x:v>Strategy, Boards, Teams, Leadership und Change</x:v>
      </x:c>
      <x:c r="C27" s="33" t="str">
        <x:v>https://www.insead.edu/executive-education</x:v>
      </x:c>
    </x:row>
    <x:row r="28">
      <x:c r="A28" s="33" t="str">
        <x:v>MIT Sloan Executive Education</x:v>
      </x:c>
      <x:c r="B28" s="33" t="str">
        <x:v>AI-Strategie, AI-Adoption und AI-Leadership</x:v>
      </x:c>
      <x:c r="C28" s="33" t="str">
        <x:v>https://executive.mit.edu/artificial-intelligence</x:v>
      </x:c>
    </x:row>
    <x:row r="29">
      <x:c r="A29" s="33" t="str">
        <x:v>ESMT Berlin</x:v>
      </x:c>
      <x:c r="B29" s="33" t="str">
        <x:v>Data Strategy, AI Implementation und Digital Transformation</x:v>
      </x:c>
      <x:c r="C29" s="33" t="str">
        <x:v>https://esmt.berlin/executive-education</x:v>
      </x:c>
    </x:row>
    <x:row r="30">
      <x:c r="A30" s="33" t="str">
        <x:v>Google Cloud Skills Boost</x:v>
      </x:c>
      <x:c r="B30" s="33" t="str">
        <x:v>Cloud Digital Leader und Generative AI Leader</x:v>
      </x:c>
      <x:c r="C30" s="33" t="str">
        <x:v>https://www.cloudskillsboost.google/</x:v>
      </x:c>
    </x:row>
    <x:row r="31">
      <x:c r="A31" s="33" t="str">
        <x:v>AWS Training</x:v>
      </x:c>
      <x:c r="B31" s="33" t="str">
        <x:v>Generative AI und AI für Business Leader</x:v>
      </x:c>
      <x:c r="C31" s="33" t="str">
        <x:v>https://aws.amazon.com/training/</x:v>
      </x:c>
    </x:row>
    <x:row r="32">
      <x:c r="A32" s="33" t="str">
        <x:v>IAPP</x:v>
      </x:c>
      <x:c r="B32" s="33" t="str">
        <x:v>AIGP und AI-Governance-Training</x:v>
      </x:c>
      <x:c r="C32" s="33" t="str">
        <x:v>https://iapp.org/train/aigp-training</x:v>
      </x:c>
    </x:row>
    <x:row r="33">
      <x:c r="A33" s="33" t="str">
        <x:v>Harvard Business School Online</x:v>
      </x:c>
      <x:c r="B33" s="33" t="str">
        <x:v>Business Analytics, AI Leadership und Ethics</x:v>
      </x:c>
      <x:c r="C33" s="33" t="str">
        <x:v>https://online.hbs.edu/</x:v>
      </x:c>
    </x:row>
    <x:row r="34">
      <x:c r="A34" s="33" t="str">
        <x:v>Stanford Online / d.school</x:v>
      </x:c>
      <x:c r="B34" s="33" t="str">
        <x:v>AI Leadership, Entscheidungen und Futures Thinking</x:v>
      </x:c>
      <x:c r="C34" s="33" t="str">
        <x:v>https://online.stanford.edu/</x:v>
      </x:c>
    </x:row>
    <x:row r="35">
      <x:c r="A35" s="33" t="str">
        <x:v>Bitkom Akademie / TÜV</x:v>
      </x:c>
      <x:c r="B35" s="33" t="str">
        <x:v>AI-Compliance, ISO 42001 und AI Coordinator</x:v>
      </x:c>
      <x:c r="C35" s="33" t="str">
        <x:v>https://bitkom-akademie.de/</x:v>
      </x:c>
    </x:row>
    <x:row r="36">
      <x:c r="A36" s="78" t="str">
        <x:v>Coursera / GitLab / UCI / SkillUp / Skillshare</x:v>
      </x:c>
      <x:c r="B36" s="78" t="str">
        <x:v>Hybrid Work, Remote Leadership, virtuelle Kommunikation und Future-ready Teams</x:v>
      </x:c>
      <x:c r="C36" s="78" t="str">
        <x:v>https://www.coursera.org/</x:v>
      </x:c>
    </x:row>
  </x:sheetData>
  <x:mergeCells>
    <x:mergeCell ref="A1:F1"/>
    <x:mergeCell ref="A10:F10"/>
    <x:mergeCell ref="A11:F16"/>
    <x:mergeCell ref="A18:F18"/>
    <x:mergeCell ref="A24:F24"/>
  </x:mergeCells>
  <x:pageMargins left="0.7" right="0.7" top="0.75" bottom="0.75" header="0.3" footer="0.3"/>
</x:worksheet>
</file>